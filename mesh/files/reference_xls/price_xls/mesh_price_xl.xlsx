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mesh/files/reference_xls/price_xls/"/>
    </mc:Choice>
  </mc:AlternateContent>
  <xr:revisionPtr revIDLastSave="0" documentId="13_ncr:1_{2B24B39C-BE9D-724A-BD44-512F04055BD8}" xr6:coauthVersionLast="47" xr6:coauthVersionMax="47" xr10:uidLastSave="{00000000-0000-0000-0000-000000000000}"/>
  <bookViews>
    <workbookView xWindow="0" yWindow="660" windowWidth="30240" windowHeight="17660" xr2:uid="{A621BED0-EF38-3C42-8A7B-3796F17B4352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1" l="1"/>
  <c r="R10" i="1"/>
  <c r="R11" i="1"/>
  <c r="R12" i="1"/>
  <c r="R13" i="1"/>
  <c r="R8" i="1"/>
  <c r="P13" i="1"/>
  <c r="P11" i="1"/>
  <c r="P10" i="1"/>
  <c r="P9" i="1"/>
  <c r="Q9" i="1" s="1"/>
  <c r="P8" i="1"/>
  <c r="Q8" i="1" s="1"/>
  <c r="P12" i="1"/>
  <c r="Q12" i="1" s="1"/>
  <c r="Q10" i="1"/>
  <c r="Q11" i="1"/>
  <c r="Q13" i="1"/>
</calcChain>
</file>

<file path=xl/sharedStrings.xml><?xml version="1.0" encoding="utf-8"?>
<sst xmlns="http://schemas.openxmlformats.org/spreadsheetml/2006/main" count="140" uniqueCount="22">
  <si>
    <t>Product Description</t>
  </si>
  <si>
    <t>Mesh Size</t>
  </si>
  <si>
    <t>Rope Diameter (mm)</t>
  </si>
  <si>
    <t>Orientation</t>
  </si>
  <si>
    <r>
      <t>MoQ (ft</t>
    </r>
    <r>
      <rPr>
        <b/>
        <vertAlign val="superscript"/>
        <sz val="12"/>
        <color theme="1"/>
        <rFont val="Times Roman"/>
      </rPr>
      <t>2</t>
    </r>
    <r>
      <rPr>
        <b/>
        <sz val="12"/>
        <color theme="1"/>
        <rFont val="Times Roman"/>
      </rPr>
      <t>)</t>
    </r>
  </si>
  <si>
    <t>Standard Mesh</t>
  </si>
  <si>
    <t>25 Mesh</t>
  </si>
  <si>
    <t>Horizontal</t>
  </si>
  <si>
    <t>30 Mesh</t>
  </si>
  <si>
    <t>40 Mesh</t>
  </si>
  <si>
    <t>60 Mesh</t>
  </si>
  <si>
    <t>80 Mesh</t>
  </si>
  <si>
    <t>USD/SQM</t>
  </si>
  <si>
    <t>Quoted price to Kamla Pasand</t>
  </si>
  <si>
    <t>VT Sales Price</t>
  </si>
  <si>
    <t>Sales Price/ft2</t>
  </si>
  <si>
    <r>
      <t>Sales Price/m</t>
    </r>
    <r>
      <rPr>
        <b/>
        <vertAlign val="superscript"/>
        <sz val="14"/>
        <color theme="1"/>
        <rFont val="Times New Roman"/>
        <family val="1"/>
      </rPr>
      <t>2</t>
    </r>
  </si>
  <si>
    <r>
      <t>Sales Price/ft</t>
    </r>
    <r>
      <rPr>
        <b/>
        <vertAlign val="superscript"/>
        <sz val="14"/>
        <color theme="1"/>
        <rFont val="Times New Roman"/>
        <family val="1"/>
      </rPr>
      <t>2</t>
    </r>
  </si>
  <si>
    <t>SS Material</t>
  </si>
  <si>
    <t>SS 316</t>
  </si>
  <si>
    <t>SS 304</t>
  </si>
  <si>
    <t>Sales Price/m2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</si>
</sst>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#,##0"/>
    <numFmt numFmtId="165" formatCode="&quot;₹&quot;#,##0.00"/>
  </numFmts>
  <fonts count="9">
    <font>
      <sz val="12"/>
      <color theme="1"/>
      <name val="Calibri"/>
      <family val="2"/>
      <scheme val="minor"/>
    </font>
    <font>
      <b/>
      <sz val="12"/>
      <color theme="1"/>
      <name val="Times Roman"/>
    </font>
    <font>
      <b/>
      <vertAlign val="superscript"/>
      <sz val="12"/>
      <color theme="1"/>
      <name val="Times Roman"/>
    </font>
    <font>
      <sz val="12"/>
      <color theme="1"/>
      <name val="Times Roman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vertAlign val="superscript"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9CCAD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164" fontId="3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2" fontId="3" fillId="0" borderId="7" xfId="0" applyNumberFormat="1" applyFont="1" applyBorder="1" applyAlignment="1">
      <alignment horizontal="center" vertical="center" wrapText="1"/>
    </xf>
    <xf numFmtId="164" fontId="3" fillId="0" borderId="7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3" fillId="0" borderId="0" xfId="0" applyFont="1"/>
    <xf numFmtId="164" fontId="3" fillId="0" borderId="15" xfId="0" applyNumberFormat="1" applyFont="1" applyBorder="1" applyAlignment="1">
      <alignment horizontal="center" vertical="center" wrapText="1"/>
    </xf>
    <xf numFmtId="164" fontId="3" fillId="0" borderId="16" xfId="0" applyNumberFormat="1" applyFont="1" applyBorder="1" applyAlignment="1">
      <alignment horizontal="center" vertical="center" wrapText="1"/>
    </xf>
    <xf numFmtId="164" fontId="3" fillId="0" borderId="17" xfId="0" applyNumberFormat="1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4" fillId="0" borderId="0" xfId="0" applyFont="1"/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4" fillId="0" borderId="5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4" fillId="0" borderId="7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4" fillId="0" borderId="11" xfId="0" applyNumberFormat="1" applyFont="1" applyBorder="1" applyAlignment="1">
      <alignment horizontal="center" vertical="center" wrapText="1"/>
    </xf>
    <xf numFmtId="164" fontId="4" fillId="0" borderId="11" xfId="0" applyNumberFormat="1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0" fontId="7" fillId="0" borderId="0" xfId="0" applyFont="1"/>
    <xf numFmtId="0" fontId="7" fillId="2" borderId="7" xfId="0" applyFont="1" applyFill="1" applyBorder="1" applyAlignment="1">
      <alignment horizontal="center"/>
    </xf>
    <xf numFmtId="2" fontId="7" fillId="2" borderId="7" xfId="0" applyNumberFormat="1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2" fontId="7" fillId="3" borderId="7" xfId="0" applyNumberFormat="1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/>
    </xf>
    <xf numFmtId="2" fontId="7" fillId="4" borderId="7" xfId="0" applyNumberFormat="1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/>
    </xf>
    <xf numFmtId="165" fontId="7" fillId="2" borderId="7" xfId="0" applyNumberFormat="1" applyFont="1" applyFill="1" applyBorder="1" applyAlignment="1">
      <alignment horizontal="right" vertical="center"/>
    </xf>
    <xf numFmtId="165" fontId="7" fillId="3" borderId="7" xfId="0" applyNumberFormat="1" applyFont="1" applyFill="1" applyBorder="1" applyAlignment="1">
      <alignment horizontal="right" vertical="center"/>
    </xf>
    <xf numFmtId="165" fontId="7" fillId="4" borderId="7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9CC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2437C-AC61-7340-9D0F-0A8F2521C4AC}">
  <dimension ref="A1:J33"/>
  <sheetViews>
    <sheetView tabSelected="1" zoomScale="125" workbookViewId="0">
      <selection activeCell="A4" sqref="A4"/>
    </sheetView>
  </sheetViews>
  <sheetFormatPr baseColWidth="10" defaultRowHeight="16"/>
  <cols>
    <col min="1" max="1" width="26.5" customWidth="1"/>
    <col min="2" max="2" width="20" customWidth="1"/>
    <col min="3" max="4" width="19.33203125" customWidth="1"/>
    <col min="5" max="5" width="16" customWidth="1"/>
    <col min="6" max="6" width="18.1640625" customWidth="1"/>
    <col min="7" max="7" width="19.1640625" customWidth="1"/>
    <col min="8" max="9" width="17.83203125" bestFit="1" customWidth="1"/>
  </cols>
  <sheetData>
    <row r="1" spans="1:10" ht="42">
      <c r="A1" s="53" t="s">
        <v>0</v>
      </c>
      <c r="B1" s="53" t="s">
        <v>3</v>
      </c>
      <c r="C1" s="53" t="s">
        <v>18</v>
      </c>
      <c r="D1" s="53" t="s">
        <v>2</v>
      </c>
      <c r="E1" s="53" t="s">
        <v>1</v>
      </c>
      <c r="F1" s="53" t="s">
        <v>12</v>
      </c>
      <c r="G1" s="53" t="s">
        <v>21</v>
      </c>
      <c r="H1" s="54" t="s">
        <v>15</v>
      </c>
      <c r="I1" s="54" t="s">
        <v>15</v>
      </c>
      <c r="J1" s="46"/>
    </row>
    <row r="2" spans="1:10" ht="21">
      <c r="A2" s="49" t="s">
        <v>5</v>
      </c>
      <c r="B2" s="49" t="s">
        <v>7</v>
      </c>
      <c r="C2" s="48" t="s">
        <v>20</v>
      </c>
      <c r="D2" s="48">
        <v>1.2</v>
      </c>
      <c r="E2" s="49">
        <v>25</v>
      </c>
      <c r="F2" s="49">
        <v>26</v>
      </c>
      <c r="G2" s="59">
        <v>7020</v>
      </c>
      <c r="H2" s="59">
        <v>652</v>
      </c>
      <c r="I2" s="59">
        <v>782.61</v>
      </c>
      <c r="J2" s="46"/>
    </row>
    <row r="3" spans="1:10" ht="21">
      <c r="A3" s="49" t="s">
        <v>5</v>
      </c>
      <c r="B3" s="49" t="s">
        <v>7</v>
      </c>
      <c r="C3" s="48" t="s">
        <v>20</v>
      </c>
      <c r="D3" s="48">
        <v>1.5</v>
      </c>
      <c r="E3" s="49">
        <v>160</v>
      </c>
      <c r="F3" s="49">
        <v>2.71</v>
      </c>
      <c r="G3" s="59">
        <v>732</v>
      </c>
      <c r="H3" s="59">
        <v>68</v>
      </c>
      <c r="I3" s="59">
        <v>81.569999999999993</v>
      </c>
      <c r="J3" s="46"/>
    </row>
    <row r="4" spans="1:10" ht="21">
      <c r="A4" s="49" t="s">
        <v>5</v>
      </c>
      <c r="B4" s="49" t="s">
        <v>7</v>
      </c>
      <c r="C4" s="48" t="s">
        <v>20</v>
      </c>
      <c r="D4" s="48">
        <v>1.5</v>
      </c>
      <c r="E4" s="49">
        <v>180</v>
      </c>
      <c r="F4" s="49">
        <v>2.5</v>
      </c>
      <c r="G4" s="59">
        <v>675</v>
      </c>
      <c r="H4" s="59">
        <v>63</v>
      </c>
      <c r="I4" s="59">
        <v>75.25</v>
      </c>
      <c r="J4" s="46"/>
    </row>
    <row r="5" spans="1:10" ht="21">
      <c r="A5" s="49" t="s">
        <v>5</v>
      </c>
      <c r="B5" s="49" t="s">
        <v>7</v>
      </c>
      <c r="C5" s="48" t="s">
        <v>20</v>
      </c>
      <c r="D5" s="48">
        <v>1.5</v>
      </c>
      <c r="E5" s="49">
        <v>200</v>
      </c>
      <c r="F5" s="49">
        <v>2.35</v>
      </c>
      <c r="G5" s="59">
        <v>635</v>
      </c>
      <c r="H5" s="59">
        <v>59</v>
      </c>
      <c r="I5" s="59">
        <v>70.739999999999995</v>
      </c>
      <c r="J5" s="46"/>
    </row>
    <row r="6" spans="1:10" ht="21">
      <c r="A6" s="49" t="s">
        <v>5</v>
      </c>
      <c r="B6" s="49" t="s">
        <v>7</v>
      </c>
      <c r="C6" s="48" t="s">
        <v>20</v>
      </c>
      <c r="D6" s="48">
        <v>2</v>
      </c>
      <c r="E6" s="49">
        <v>160</v>
      </c>
      <c r="F6" s="49">
        <v>3.07</v>
      </c>
      <c r="G6" s="59">
        <v>829</v>
      </c>
      <c r="H6" s="59">
        <v>77</v>
      </c>
      <c r="I6" s="59">
        <v>92.41</v>
      </c>
      <c r="J6" s="46"/>
    </row>
    <row r="7" spans="1:10" ht="21">
      <c r="A7" s="49" t="s">
        <v>5</v>
      </c>
      <c r="B7" s="49" t="s">
        <v>7</v>
      </c>
      <c r="C7" s="48" t="s">
        <v>20</v>
      </c>
      <c r="D7" s="48">
        <v>2</v>
      </c>
      <c r="E7" s="49">
        <v>180</v>
      </c>
      <c r="F7" s="49">
        <v>2.85</v>
      </c>
      <c r="G7" s="59">
        <v>770</v>
      </c>
      <c r="H7" s="59">
        <v>71</v>
      </c>
      <c r="I7" s="59">
        <v>85.79</v>
      </c>
      <c r="J7" s="46"/>
    </row>
    <row r="8" spans="1:10" ht="21">
      <c r="A8" s="49" t="s">
        <v>5</v>
      </c>
      <c r="B8" s="47" t="s">
        <v>7</v>
      </c>
      <c r="C8" s="48" t="s">
        <v>20</v>
      </c>
      <c r="D8" s="48">
        <v>2</v>
      </c>
      <c r="E8" s="49">
        <v>200</v>
      </c>
      <c r="F8" s="49">
        <v>2.71</v>
      </c>
      <c r="G8" s="59">
        <v>732</v>
      </c>
      <c r="H8" s="59">
        <v>68</v>
      </c>
      <c r="I8" s="59">
        <v>81.569999999999993</v>
      </c>
      <c r="J8" s="46"/>
    </row>
    <row r="9" spans="1:10" ht="21">
      <c r="A9" s="50" t="s">
        <v>5</v>
      </c>
      <c r="B9" s="52" t="s">
        <v>7</v>
      </c>
      <c r="C9" s="51" t="s">
        <v>19</v>
      </c>
      <c r="D9" s="51">
        <v>1</v>
      </c>
      <c r="E9" s="50">
        <v>25</v>
      </c>
      <c r="F9" s="50">
        <v>26</v>
      </c>
      <c r="G9" s="60">
        <v>7020</v>
      </c>
      <c r="H9" s="60">
        <v>652</v>
      </c>
      <c r="I9" s="60">
        <v>782.61</v>
      </c>
      <c r="J9" s="46"/>
    </row>
    <row r="10" spans="1:10" ht="21">
      <c r="A10" s="50" t="s">
        <v>5</v>
      </c>
      <c r="B10" s="52" t="s">
        <v>7</v>
      </c>
      <c r="C10" s="51" t="s">
        <v>19</v>
      </c>
      <c r="D10" s="51">
        <v>1.2</v>
      </c>
      <c r="E10" s="50">
        <v>25</v>
      </c>
      <c r="F10" s="50">
        <v>27.5</v>
      </c>
      <c r="G10" s="60">
        <v>7425</v>
      </c>
      <c r="H10" s="60">
        <v>690</v>
      </c>
      <c r="I10" s="60">
        <v>827.76</v>
      </c>
      <c r="J10" s="46"/>
    </row>
    <row r="11" spans="1:10" ht="21">
      <c r="A11" s="50" t="s">
        <v>5</v>
      </c>
      <c r="B11" s="52" t="s">
        <v>7</v>
      </c>
      <c r="C11" s="51" t="s">
        <v>19</v>
      </c>
      <c r="D11" s="51">
        <v>1.5</v>
      </c>
      <c r="E11" s="50">
        <v>40</v>
      </c>
      <c r="F11" s="50">
        <v>23</v>
      </c>
      <c r="G11" s="60">
        <v>6210</v>
      </c>
      <c r="H11" s="60">
        <v>577</v>
      </c>
      <c r="I11" s="60">
        <v>692.31</v>
      </c>
      <c r="J11" s="46"/>
    </row>
    <row r="12" spans="1:10" ht="21">
      <c r="A12" s="50" t="s">
        <v>5</v>
      </c>
      <c r="B12" s="52" t="s">
        <v>7</v>
      </c>
      <c r="C12" s="51" t="s">
        <v>19</v>
      </c>
      <c r="D12" s="51">
        <v>1.5</v>
      </c>
      <c r="E12" s="50">
        <v>160</v>
      </c>
      <c r="F12" s="50">
        <v>2.92</v>
      </c>
      <c r="G12" s="60">
        <v>788</v>
      </c>
      <c r="H12" s="60">
        <v>73</v>
      </c>
      <c r="I12" s="60">
        <v>87.89</v>
      </c>
      <c r="J12" s="46"/>
    </row>
    <row r="13" spans="1:10" ht="21">
      <c r="A13" s="55" t="s">
        <v>5</v>
      </c>
      <c r="B13" s="56" t="s">
        <v>7</v>
      </c>
      <c r="C13" s="57" t="s">
        <v>19</v>
      </c>
      <c r="D13" s="57">
        <v>2</v>
      </c>
      <c r="E13" s="55">
        <v>30</v>
      </c>
      <c r="F13" s="55">
        <v>42</v>
      </c>
      <c r="G13" s="61">
        <v>11340</v>
      </c>
      <c r="H13" s="61">
        <v>1054</v>
      </c>
      <c r="I13" s="61">
        <v>1264.21</v>
      </c>
      <c r="J13" s="46"/>
    </row>
    <row r="14" spans="1:10" ht="21">
      <c r="A14" s="55" t="s">
        <v>5</v>
      </c>
      <c r="B14" s="56" t="s">
        <v>7</v>
      </c>
      <c r="C14" s="57" t="s">
        <v>19</v>
      </c>
      <c r="D14" s="57">
        <v>2</v>
      </c>
      <c r="E14" s="55">
        <v>40</v>
      </c>
      <c r="F14" s="55">
        <v>35</v>
      </c>
      <c r="G14" s="61">
        <v>9450</v>
      </c>
      <c r="H14" s="61">
        <v>878</v>
      </c>
      <c r="I14" s="61">
        <v>1053.51</v>
      </c>
      <c r="J14" s="46"/>
    </row>
    <row r="15" spans="1:10" ht="21">
      <c r="A15" s="55" t="s">
        <v>5</v>
      </c>
      <c r="B15" s="56" t="s">
        <v>7</v>
      </c>
      <c r="C15" s="57" t="s">
        <v>19</v>
      </c>
      <c r="D15" s="57">
        <v>2</v>
      </c>
      <c r="E15" s="55">
        <v>60</v>
      </c>
      <c r="F15" s="55">
        <v>16</v>
      </c>
      <c r="G15" s="61">
        <v>4320</v>
      </c>
      <c r="H15" s="61">
        <v>401</v>
      </c>
      <c r="I15" s="61">
        <v>481.61</v>
      </c>
      <c r="J15" s="46"/>
    </row>
    <row r="16" spans="1:10" ht="21">
      <c r="A16" s="55" t="s">
        <v>5</v>
      </c>
      <c r="B16" s="56" t="s">
        <v>7</v>
      </c>
      <c r="C16" s="57" t="s">
        <v>19</v>
      </c>
      <c r="D16" s="57">
        <v>2</v>
      </c>
      <c r="E16" s="55">
        <v>80</v>
      </c>
      <c r="F16" s="55">
        <v>13</v>
      </c>
      <c r="G16" s="61">
        <v>3510</v>
      </c>
      <c r="H16" s="61">
        <v>326</v>
      </c>
      <c r="I16" s="61">
        <v>391.3</v>
      </c>
      <c r="J16" s="46"/>
    </row>
    <row r="17" spans="1:10" ht="21">
      <c r="A17" s="55" t="s">
        <v>5</v>
      </c>
      <c r="B17" s="56" t="s">
        <v>7</v>
      </c>
      <c r="C17" s="57" t="s">
        <v>19</v>
      </c>
      <c r="D17" s="57">
        <v>2</v>
      </c>
      <c r="E17" s="55">
        <v>160</v>
      </c>
      <c r="F17" s="55">
        <v>3.44</v>
      </c>
      <c r="G17" s="61">
        <v>929</v>
      </c>
      <c r="H17" s="61">
        <v>86</v>
      </c>
      <c r="I17" s="61">
        <v>103.55</v>
      </c>
      <c r="J17" s="46"/>
    </row>
    <row r="18" spans="1:10" ht="21">
      <c r="A18" s="55" t="s">
        <v>5</v>
      </c>
      <c r="B18" s="56" t="s">
        <v>7</v>
      </c>
      <c r="C18" s="57" t="s">
        <v>19</v>
      </c>
      <c r="D18" s="57">
        <v>2</v>
      </c>
      <c r="E18" s="55">
        <v>180</v>
      </c>
      <c r="F18" s="55">
        <v>3.17</v>
      </c>
      <c r="G18" s="61">
        <v>856</v>
      </c>
      <c r="H18" s="61">
        <v>80</v>
      </c>
      <c r="I18" s="61">
        <v>95.42</v>
      </c>
      <c r="J18" s="46"/>
    </row>
    <row r="19" spans="1:10" ht="21">
      <c r="A19" s="55" t="s">
        <v>5</v>
      </c>
      <c r="B19" s="56" t="s">
        <v>7</v>
      </c>
      <c r="C19" s="57" t="s">
        <v>19</v>
      </c>
      <c r="D19" s="57">
        <v>2</v>
      </c>
      <c r="E19" s="55">
        <v>200</v>
      </c>
      <c r="F19" s="55">
        <v>3</v>
      </c>
      <c r="G19" s="61">
        <v>810</v>
      </c>
      <c r="H19" s="61">
        <v>75</v>
      </c>
      <c r="I19" s="61">
        <v>90.3</v>
      </c>
      <c r="J19" s="46"/>
    </row>
    <row r="20" spans="1:10" ht="21">
      <c r="A20" s="55" t="s">
        <v>5</v>
      </c>
      <c r="B20" s="56" t="s">
        <v>7</v>
      </c>
      <c r="C20" s="57" t="s">
        <v>19</v>
      </c>
      <c r="D20" s="57">
        <v>2.5</v>
      </c>
      <c r="E20" s="55">
        <v>180</v>
      </c>
      <c r="F20" s="55">
        <v>2.7</v>
      </c>
      <c r="G20" s="61">
        <v>729</v>
      </c>
      <c r="H20" s="61">
        <v>68</v>
      </c>
      <c r="I20" s="61">
        <v>81.27</v>
      </c>
      <c r="J20" s="46"/>
    </row>
    <row r="21" spans="1:10" ht="21">
      <c r="A21" s="55" t="s">
        <v>5</v>
      </c>
      <c r="B21" s="56" t="s">
        <v>7</v>
      </c>
      <c r="C21" s="57" t="s">
        <v>19</v>
      </c>
      <c r="D21" s="57">
        <v>2.5</v>
      </c>
      <c r="E21" s="55">
        <v>200</v>
      </c>
      <c r="F21" s="55">
        <v>2.35</v>
      </c>
      <c r="G21" s="61">
        <v>635</v>
      </c>
      <c r="H21" s="61">
        <v>59</v>
      </c>
      <c r="I21" s="61">
        <v>70.739999999999995</v>
      </c>
      <c r="J21" s="46"/>
    </row>
    <row r="22" spans="1:10" ht="21">
      <c r="A22" s="55" t="s">
        <v>5</v>
      </c>
      <c r="B22" s="56" t="s">
        <v>7</v>
      </c>
      <c r="C22" s="58" t="s">
        <v>19</v>
      </c>
      <c r="D22" s="56">
        <v>3</v>
      </c>
      <c r="E22" s="55">
        <v>50</v>
      </c>
      <c r="F22" s="55">
        <v>18</v>
      </c>
      <c r="G22" s="61">
        <v>4860</v>
      </c>
      <c r="H22" s="61">
        <v>452</v>
      </c>
      <c r="I22" s="61">
        <v>541.80999999999995</v>
      </c>
      <c r="J22" s="46"/>
    </row>
    <row r="23" spans="1:10" ht="20">
      <c r="A23" s="46"/>
      <c r="B23" s="46"/>
      <c r="C23" s="46"/>
      <c r="D23" s="46"/>
      <c r="E23" s="46"/>
      <c r="F23" s="46"/>
      <c r="G23" s="46"/>
      <c r="H23" s="46"/>
      <c r="I23" s="46"/>
      <c r="J23" s="46"/>
    </row>
    <row r="24" spans="1:10" ht="20">
      <c r="A24" s="46"/>
      <c r="B24" s="46"/>
      <c r="C24" s="46"/>
      <c r="D24" s="46"/>
      <c r="E24" s="46"/>
      <c r="F24" s="46"/>
      <c r="G24" s="46"/>
      <c r="H24" s="46"/>
      <c r="I24" s="46"/>
      <c r="J24" s="46"/>
    </row>
    <row r="25" spans="1:10" ht="20">
      <c r="A25" s="46"/>
      <c r="B25" s="46"/>
      <c r="C25" s="46"/>
      <c r="D25" s="46"/>
      <c r="E25" s="46"/>
      <c r="F25" s="46"/>
      <c r="G25" s="46"/>
      <c r="H25" s="46"/>
      <c r="I25" s="46"/>
      <c r="J25" s="46"/>
    </row>
    <row r="26" spans="1:10" ht="20">
      <c r="A26" s="46"/>
      <c r="B26" s="46"/>
      <c r="C26" s="46"/>
      <c r="D26" s="46"/>
      <c r="E26" s="46"/>
      <c r="F26" s="46"/>
      <c r="G26" s="46"/>
      <c r="H26" s="46"/>
      <c r="I26" s="46"/>
      <c r="J26" s="46"/>
    </row>
    <row r="27" spans="1:10" ht="20">
      <c r="A27" s="46"/>
      <c r="B27" s="46"/>
      <c r="C27" s="46"/>
      <c r="D27" s="46"/>
      <c r="E27" s="46"/>
      <c r="F27" s="46"/>
      <c r="G27" s="46"/>
      <c r="H27" s="46"/>
      <c r="I27" s="46"/>
      <c r="J27" s="46"/>
    </row>
    <row r="28" spans="1:10" ht="20">
      <c r="A28" s="46"/>
      <c r="B28" s="46"/>
      <c r="C28" s="46"/>
      <c r="D28" s="46"/>
      <c r="E28" s="46"/>
      <c r="F28" s="46"/>
      <c r="G28" s="46"/>
      <c r="H28" s="46"/>
      <c r="I28" s="46"/>
      <c r="J28" s="46"/>
    </row>
    <row r="29" spans="1:10" ht="20">
      <c r="A29" s="46"/>
      <c r="B29" s="46"/>
      <c r="C29" s="46"/>
      <c r="D29" s="46"/>
      <c r="E29" s="46"/>
      <c r="F29" s="46"/>
      <c r="G29" s="46"/>
      <c r="H29" s="46"/>
      <c r="I29" s="46"/>
      <c r="J29" s="46"/>
    </row>
    <row r="30" spans="1:10" ht="20">
      <c r="A30" s="46"/>
      <c r="B30" s="46"/>
      <c r="C30" s="46"/>
      <c r="D30" s="46"/>
      <c r="E30" s="46"/>
      <c r="F30" s="46"/>
      <c r="G30" s="46"/>
      <c r="H30" s="46"/>
      <c r="I30" s="46"/>
      <c r="J30" s="46"/>
    </row>
    <row r="31" spans="1:10" ht="20">
      <c r="A31" s="46"/>
      <c r="B31" s="46"/>
      <c r="C31" s="46"/>
      <c r="D31" s="46"/>
      <c r="E31" s="46"/>
      <c r="F31" s="46"/>
      <c r="G31" s="46"/>
      <c r="H31" s="46"/>
      <c r="I31" s="46"/>
      <c r="J31" s="46"/>
    </row>
    <row r="32" spans="1:10" ht="20">
      <c r="A32" s="46"/>
      <c r="B32" s="46"/>
      <c r="C32" s="46"/>
      <c r="D32" s="46"/>
      <c r="E32" s="46"/>
      <c r="F32" s="46"/>
      <c r="G32" s="46"/>
      <c r="H32" s="46"/>
      <c r="I32" s="46"/>
      <c r="J32" s="46"/>
    </row>
    <row r="33" spans="1:10" ht="20">
      <c r="A33" s="46"/>
      <c r="B33" s="46"/>
      <c r="C33" s="46"/>
      <c r="D33" s="46"/>
      <c r="E33" s="46"/>
      <c r="F33" s="46"/>
      <c r="G33" s="46"/>
      <c r="H33" s="46"/>
      <c r="I33" s="46"/>
      <c r="J33" s="46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B4C0-8C5D-A943-9756-EC7742EEB8E8}">
  <sheetPr>
    <pageSetUpPr fitToPage="1"/>
  </sheetPr>
  <dimension ref="C1:Z28"/>
  <sheetViews>
    <sheetView topLeftCell="F1" workbookViewId="0">
      <selection activeCell="K7" sqref="K7:R13"/>
    </sheetView>
  </sheetViews>
  <sheetFormatPr baseColWidth="10" defaultRowHeight="16"/>
  <cols>
    <col min="10" max="10" width="12.5" customWidth="1"/>
    <col min="11" max="11" width="17.83203125" customWidth="1"/>
    <col min="12" max="12" width="15.5" customWidth="1"/>
    <col min="13" max="13" width="17" customWidth="1"/>
    <col min="14" max="14" width="18.6640625" customWidth="1"/>
    <col min="15" max="15" width="16.6640625" customWidth="1"/>
    <col min="16" max="16" width="28" customWidth="1"/>
    <col min="17" max="17" width="19.6640625" customWidth="1"/>
    <col min="18" max="18" width="23.5" customWidth="1"/>
    <col min="20" max="20" width="17.33203125" customWidth="1"/>
    <col min="21" max="21" width="14.33203125" customWidth="1"/>
    <col min="23" max="23" width="15.33203125" customWidth="1"/>
    <col min="24" max="24" width="19.33203125" customWidth="1"/>
    <col min="25" max="25" width="18.5" customWidth="1"/>
    <col min="26" max="26" width="17" customWidth="1"/>
  </cols>
  <sheetData>
    <row r="1" spans="9:26" ht="11" customHeight="1"/>
    <row r="2" spans="9:26" hidden="1"/>
    <row r="3" spans="9:26" hidden="1"/>
    <row r="5" spans="9:26" ht="1" customHeight="1"/>
    <row r="6" spans="9:26" ht="47" customHeight="1" thickBot="1">
      <c r="I6" s="21"/>
      <c r="J6" s="26"/>
      <c r="K6" s="26"/>
      <c r="L6" s="26"/>
      <c r="M6" s="26"/>
      <c r="N6" s="26"/>
      <c r="O6" s="26"/>
      <c r="P6" s="26"/>
      <c r="Q6" s="26"/>
      <c r="R6" s="26"/>
      <c r="S6" s="26"/>
    </row>
    <row r="7" spans="9:26" ht="107" customHeight="1" thickBot="1">
      <c r="I7" s="21"/>
      <c r="J7" s="26"/>
      <c r="K7" s="27" t="s">
        <v>0</v>
      </c>
      <c r="L7" s="28" t="s">
        <v>1</v>
      </c>
      <c r="M7" s="28" t="s">
        <v>2</v>
      </c>
      <c r="N7" s="28" t="s">
        <v>3</v>
      </c>
      <c r="O7" s="28" t="s">
        <v>12</v>
      </c>
      <c r="P7" s="28" t="s">
        <v>16</v>
      </c>
      <c r="Q7" s="29" t="s">
        <v>17</v>
      </c>
      <c r="R7" s="30" t="s">
        <v>17</v>
      </c>
      <c r="S7" s="26"/>
      <c r="T7" s="1" t="s">
        <v>0</v>
      </c>
      <c r="U7" s="2" t="s">
        <v>1</v>
      </c>
      <c r="V7" s="2" t="s">
        <v>2</v>
      </c>
      <c r="W7" s="2" t="s">
        <v>3</v>
      </c>
      <c r="X7" s="19" t="s">
        <v>13</v>
      </c>
      <c r="Y7" s="20" t="s">
        <v>14</v>
      </c>
      <c r="Z7" s="25" t="s">
        <v>4</v>
      </c>
    </row>
    <row r="8" spans="9:26" ht="67" customHeight="1">
      <c r="I8" s="21"/>
      <c r="J8" s="26"/>
      <c r="K8" s="31" t="s">
        <v>5</v>
      </c>
      <c r="L8" s="32" t="s">
        <v>6</v>
      </c>
      <c r="M8" s="33">
        <v>1</v>
      </c>
      <c r="N8" s="32" t="s">
        <v>7</v>
      </c>
      <c r="O8" s="32">
        <v>26</v>
      </c>
      <c r="P8" s="34">
        <f t="shared" ref="P8:P11" si="0">+(O8*1.25*1.2*2)*85</f>
        <v>6630</v>
      </c>
      <c r="Q8" s="34">
        <f>P8/10.764</f>
        <v>615.94202898550725</v>
      </c>
      <c r="R8" s="35">
        <f>Q8*1.2</f>
        <v>739.13043478260863</v>
      </c>
      <c r="S8" s="26"/>
      <c r="T8" s="4" t="s">
        <v>5</v>
      </c>
      <c r="U8" s="5" t="s">
        <v>6</v>
      </c>
      <c r="V8" s="6">
        <v>1</v>
      </c>
      <c r="W8" s="5" t="s">
        <v>7</v>
      </c>
      <c r="X8" s="7">
        <v>1050</v>
      </c>
      <c r="Y8" s="22">
        <v>425</v>
      </c>
      <c r="Z8" s="8">
        <v>5000</v>
      </c>
    </row>
    <row r="9" spans="9:26" ht="67" customHeight="1">
      <c r="I9" s="21"/>
      <c r="J9" s="26"/>
      <c r="K9" s="36" t="s">
        <v>5</v>
      </c>
      <c r="L9" s="37" t="s">
        <v>8</v>
      </c>
      <c r="M9" s="38">
        <v>2</v>
      </c>
      <c r="N9" s="37" t="s">
        <v>7</v>
      </c>
      <c r="O9" s="37">
        <v>42</v>
      </c>
      <c r="P9" s="39">
        <f t="shared" si="0"/>
        <v>10710</v>
      </c>
      <c r="Q9" s="39">
        <f t="shared" ref="Q9:Q13" si="1">P9/10.764</f>
        <v>994.98327759197332</v>
      </c>
      <c r="R9" s="40">
        <f t="shared" ref="R9:R13" si="2">Q9*1.2</f>
        <v>1193.9799331103679</v>
      </c>
      <c r="S9" s="26"/>
      <c r="T9" s="4" t="s">
        <v>5</v>
      </c>
      <c r="U9" s="9" t="s">
        <v>8</v>
      </c>
      <c r="V9" s="10">
        <v>2</v>
      </c>
      <c r="W9" s="9" t="s">
        <v>7</v>
      </c>
      <c r="X9" s="11">
        <v>950</v>
      </c>
      <c r="Y9" s="23">
        <v>686.53846153846155</v>
      </c>
      <c r="Z9" s="12">
        <v>5000</v>
      </c>
    </row>
    <row r="10" spans="9:26" ht="67" customHeight="1">
      <c r="I10" s="21"/>
      <c r="J10" s="26"/>
      <c r="K10" s="36" t="s">
        <v>5</v>
      </c>
      <c r="L10" s="37" t="s">
        <v>9</v>
      </c>
      <c r="M10" s="38">
        <v>1.5</v>
      </c>
      <c r="N10" s="37" t="s">
        <v>7</v>
      </c>
      <c r="O10" s="37">
        <v>23</v>
      </c>
      <c r="P10" s="39">
        <f t="shared" si="0"/>
        <v>5865</v>
      </c>
      <c r="Q10" s="39">
        <f t="shared" si="1"/>
        <v>544.87179487179492</v>
      </c>
      <c r="R10" s="40">
        <f t="shared" si="2"/>
        <v>653.84615384615392</v>
      </c>
      <c r="S10" s="26"/>
      <c r="T10" s="13" t="s">
        <v>5</v>
      </c>
      <c r="U10" s="9" t="s">
        <v>9</v>
      </c>
      <c r="V10" s="10">
        <v>1.5</v>
      </c>
      <c r="W10" s="9" t="s">
        <v>7</v>
      </c>
      <c r="X10" s="11">
        <v>550</v>
      </c>
      <c r="Y10" s="23">
        <v>375.96153846153845</v>
      </c>
      <c r="Z10" s="12">
        <v>5000</v>
      </c>
    </row>
    <row r="11" spans="9:26" ht="67" customHeight="1" thickBot="1">
      <c r="I11" s="21"/>
      <c r="J11" s="26"/>
      <c r="K11" s="36" t="s">
        <v>5</v>
      </c>
      <c r="L11" s="37" t="s">
        <v>9</v>
      </c>
      <c r="M11" s="38">
        <v>2</v>
      </c>
      <c r="N11" s="37" t="s">
        <v>7</v>
      </c>
      <c r="O11" s="37">
        <v>35</v>
      </c>
      <c r="P11" s="39">
        <f t="shared" si="0"/>
        <v>8925</v>
      </c>
      <c r="Q11" s="39">
        <f t="shared" si="1"/>
        <v>829.15273132664447</v>
      </c>
      <c r="R11" s="40">
        <f t="shared" si="2"/>
        <v>994.98327759197332</v>
      </c>
      <c r="S11" s="26"/>
      <c r="T11" s="14" t="s">
        <v>5</v>
      </c>
      <c r="U11" s="15" t="s">
        <v>9</v>
      </c>
      <c r="V11" s="16">
        <v>2</v>
      </c>
      <c r="W11" s="15" t="s">
        <v>7</v>
      </c>
      <c r="X11" s="17">
        <v>800</v>
      </c>
      <c r="Y11" s="24">
        <v>572.11538461538453</v>
      </c>
      <c r="Z11" s="18">
        <v>5000</v>
      </c>
    </row>
    <row r="12" spans="9:26" ht="67" customHeight="1">
      <c r="I12" s="21"/>
      <c r="J12" s="26"/>
      <c r="K12" s="36" t="s">
        <v>5</v>
      </c>
      <c r="L12" s="37" t="s">
        <v>10</v>
      </c>
      <c r="M12" s="38">
        <v>2</v>
      </c>
      <c r="N12" s="37" t="s">
        <v>7</v>
      </c>
      <c r="O12" s="37">
        <v>16</v>
      </c>
      <c r="P12" s="39">
        <f>+(O12*1.25*1.2*2)*85</f>
        <v>4080</v>
      </c>
      <c r="Q12" s="39">
        <f t="shared" si="1"/>
        <v>379.04124860646601</v>
      </c>
      <c r="R12" s="40">
        <f t="shared" si="2"/>
        <v>454.84949832775919</v>
      </c>
      <c r="S12" s="26"/>
    </row>
    <row r="13" spans="9:26" ht="67" customHeight="1" thickBot="1">
      <c r="I13" s="21"/>
      <c r="J13" s="26"/>
      <c r="K13" s="41" t="s">
        <v>5</v>
      </c>
      <c r="L13" s="42" t="s">
        <v>11</v>
      </c>
      <c r="M13" s="43">
        <v>2</v>
      </c>
      <c r="N13" s="42" t="s">
        <v>7</v>
      </c>
      <c r="O13" s="42">
        <v>13</v>
      </c>
      <c r="P13" s="44">
        <f t="shared" ref="P13" si="3">+(O13*1.25*1.2*2)*85</f>
        <v>3315</v>
      </c>
      <c r="Q13" s="44">
        <f t="shared" si="1"/>
        <v>307.97101449275362</v>
      </c>
      <c r="R13" s="45">
        <f t="shared" si="2"/>
        <v>369.56521739130432</v>
      </c>
      <c r="S13" s="26"/>
    </row>
    <row r="14" spans="9:26" ht="18">
      <c r="I14" s="21"/>
      <c r="J14" s="26"/>
      <c r="K14" s="26"/>
      <c r="L14" s="26"/>
      <c r="M14" s="26"/>
      <c r="N14" s="26"/>
      <c r="O14" s="26"/>
      <c r="P14" s="26"/>
      <c r="Q14" s="26"/>
      <c r="R14" s="26"/>
      <c r="S14" s="26"/>
    </row>
    <row r="15" spans="9:26" ht="18">
      <c r="I15" s="21"/>
      <c r="J15" s="26"/>
      <c r="K15" s="26"/>
      <c r="L15" s="26"/>
      <c r="M15" s="26"/>
      <c r="N15" s="26"/>
      <c r="O15" s="26"/>
      <c r="P15" s="26"/>
      <c r="Q15" s="26"/>
      <c r="R15" s="26"/>
      <c r="S15" s="26"/>
    </row>
    <row r="16" spans="9:26" ht="19" thickBot="1">
      <c r="I16" s="21"/>
      <c r="J16" s="26"/>
      <c r="K16" s="26"/>
      <c r="L16" s="26"/>
      <c r="M16" s="26"/>
      <c r="N16" s="26"/>
      <c r="O16" s="26"/>
      <c r="P16" s="26"/>
      <c r="Q16" s="26"/>
      <c r="R16" s="26"/>
      <c r="S16" s="26"/>
    </row>
    <row r="17" spans="3:17" ht="67" customHeight="1" thickBot="1">
      <c r="C17" s="1"/>
      <c r="D17" s="2"/>
      <c r="E17" s="2"/>
      <c r="F17" s="2"/>
      <c r="G17" s="2"/>
      <c r="H17" s="2"/>
      <c r="I17" s="3"/>
    </row>
    <row r="18" spans="3:17">
      <c r="C18" s="4"/>
      <c r="D18" s="5"/>
      <c r="E18" s="6"/>
      <c r="F18" s="5"/>
      <c r="G18" s="5"/>
      <c r="H18" s="7"/>
      <c r="I18" s="8"/>
    </row>
    <row r="19" spans="3:17">
      <c r="C19" s="4"/>
      <c r="D19" s="9"/>
      <c r="E19" s="10"/>
      <c r="F19" s="9"/>
      <c r="G19" s="9"/>
      <c r="H19" s="11"/>
      <c r="I19" s="12"/>
    </row>
    <row r="20" spans="3:17" ht="9" customHeight="1" thickBot="1">
      <c r="C20" s="13"/>
      <c r="D20" s="9"/>
      <c r="E20" s="10"/>
      <c r="F20" s="9"/>
      <c r="G20" s="9"/>
      <c r="H20" s="11"/>
      <c r="I20" s="12"/>
    </row>
    <row r="21" spans="3:17" ht="17" hidden="1" thickBot="1">
      <c r="C21" s="14"/>
      <c r="D21" s="15"/>
      <c r="E21" s="16"/>
      <c r="F21" s="15"/>
      <c r="G21" s="15"/>
      <c r="H21" s="17"/>
      <c r="I21" s="18"/>
    </row>
    <row r="22" spans="3:17" ht="58" customHeight="1" thickBot="1">
      <c r="M22" s="27" t="s">
        <v>0</v>
      </c>
      <c r="N22" s="28" t="s">
        <v>1</v>
      </c>
      <c r="O22" s="28" t="s">
        <v>2</v>
      </c>
      <c r="P22" s="28" t="s">
        <v>3</v>
      </c>
      <c r="Q22" s="30" t="s">
        <v>15</v>
      </c>
    </row>
    <row r="23" spans="3:17" ht="19">
      <c r="M23" s="31" t="s">
        <v>5</v>
      </c>
      <c r="N23" s="32" t="s">
        <v>6</v>
      </c>
      <c r="O23" s="33">
        <v>1</v>
      </c>
      <c r="P23" s="32" t="s">
        <v>7</v>
      </c>
      <c r="Q23" s="35">
        <v>739.13043478260863</v>
      </c>
    </row>
    <row r="24" spans="3:17" ht="19">
      <c r="M24" s="36" t="s">
        <v>5</v>
      </c>
      <c r="N24" s="37" t="s">
        <v>8</v>
      </c>
      <c r="O24" s="38">
        <v>2</v>
      </c>
      <c r="P24" s="37" t="s">
        <v>7</v>
      </c>
      <c r="Q24" s="40">
        <v>1193.9799331103679</v>
      </c>
    </row>
    <row r="25" spans="3:17" ht="19">
      <c r="M25" s="36" t="s">
        <v>5</v>
      </c>
      <c r="N25" s="37" t="s">
        <v>9</v>
      </c>
      <c r="O25" s="38">
        <v>1.5</v>
      </c>
      <c r="P25" s="37" t="s">
        <v>7</v>
      </c>
      <c r="Q25" s="40">
        <v>653.84615384615392</v>
      </c>
    </row>
    <row r="26" spans="3:17" ht="19">
      <c r="M26" s="36" t="s">
        <v>5</v>
      </c>
      <c r="N26" s="37" t="s">
        <v>9</v>
      </c>
      <c r="O26" s="38">
        <v>2</v>
      </c>
      <c r="P26" s="37" t="s">
        <v>7</v>
      </c>
      <c r="Q26" s="40">
        <v>994.98327759197332</v>
      </c>
    </row>
    <row r="27" spans="3:17" ht="19">
      <c r="M27" s="36" t="s">
        <v>5</v>
      </c>
      <c r="N27" s="37" t="s">
        <v>10</v>
      </c>
      <c r="O27" s="38">
        <v>2</v>
      </c>
      <c r="P27" s="37" t="s">
        <v>7</v>
      </c>
      <c r="Q27" s="40">
        <v>454.84949832775919</v>
      </c>
    </row>
    <row r="28" spans="3:17" ht="20" thickBot="1">
      <c r="M28" s="41" t="s">
        <v>5</v>
      </c>
      <c r="N28" s="42" t="s">
        <v>11</v>
      </c>
      <c r="O28" s="43">
        <v>2</v>
      </c>
      <c r="P28" s="42" t="s">
        <v>7</v>
      </c>
      <c r="Q28" s="45">
        <v>369.56521739130432</v>
      </c>
    </row>
  </sheetData>
  <pageMargins left="0.7" right="0.7" top="0.75" bottom="0.75" header="0.3" footer="0.3"/>
  <pageSetup paperSize="9" scale="34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Snigdha Goel</cp:lastModifiedBy>
  <cp:lastPrinted>2022-12-21T07:28:57Z</cp:lastPrinted>
  <dcterms:created xsi:type="dcterms:W3CDTF">2022-12-21T07:06:50Z</dcterms:created>
  <dcterms:modified xsi:type="dcterms:W3CDTF">2026-02-25T05:57:44Z</dcterms:modified>
</cp:coreProperties>
</file>