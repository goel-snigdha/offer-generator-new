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8D818305-F947-4440-A331-5602FA8D15B8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3" i="3"/>
  <c r="J4" i="3" l="1"/>
  <c r="G3" i="3"/>
  <c r="D2" i="3"/>
  <c r="G2" i="3" s="1"/>
  <c r="C4" i="3"/>
  <c r="F4" i="3" s="1"/>
  <c r="C3" i="3"/>
  <c r="I3" i="3" s="1"/>
  <c r="C2" i="3"/>
  <c r="I2" i="3" s="1"/>
  <c r="G4" i="4"/>
  <c r="E4" i="4"/>
  <c r="F4" i="4" s="1"/>
  <c r="I4" i="3" l="1"/>
  <c r="H4" i="3" s="1"/>
  <c r="J2" i="3"/>
  <c r="B2" i="3"/>
  <c r="B4" i="3"/>
  <c r="F3" i="3"/>
  <c r="E3" i="3" s="1"/>
  <c r="B3" i="3"/>
  <c r="C5" i="3"/>
  <c r="F2" i="3"/>
  <c r="F5" i="3" s="1"/>
  <c r="J3" i="3"/>
  <c r="G4" i="3"/>
  <c r="E4" i="3"/>
  <c r="H3" i="3"/>
  <c r="H2" i="3"/>
  <c r="H5" i="3" s="1"/>
  <c r="B5" i="3" l="1"/>
  <c r="I5" i="3"/>
  <c r="E2" i="3"/>
  <c r="E5" i="3" s="1"/>
</calcChain>
</file>

<file path=xl/sharedStrings.xml><?xml version="1.0" encoding="utf-8"?>
<sst xmlns="http://schemas.openxmlformats.org/spreadsheetml/2006/main" count="25" uniqueCount="25">
  <si>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</si>
  <si>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</si>
  <si>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</si>
  <si>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</si>
  <si>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</si>
  <si>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</si>
  <si>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</si>
  <si>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</si>
  <si>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</si>
  <si>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200/50</t>
  </si>
  <si>
    <t>Aerofoil Wall Bracket WB (for Aerofoil AF100/20, AF150/40, AF200/50, AF 250/50)</t>
  </si>
  <si>
    <t>Aerofoil Carrier C2 (AF150/40, AF200/50, AF 250/50)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</si>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</sst>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1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4" fillId="3" borderId="12" xfId="0" applyNumberFormat="1" applyFont="1" applyFill="1" applyBorder="1" applyAlignment="1">
      <alignment horizontal="center" vertical="center"/>
    </xf>
    <xf numFmtId="1" fontId="4" fillId="3" borderId="14" xfId="0" applyNumberFormat="1" applyFont="1" applyFill="1" applyBorder="1" applyAlignment="1">
      <alignment horizontal="center" vertical="center"/>
    </xf>
    <xf numFmtId="1" fontId="4" fillId="3" borderId="1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4" fillId="4" borderId="12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0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" fontId="4" fillId="5" borderId="22" xfId="0" applyNumberFormat="1" applyFont="1" applyFill="1" applyBorder="1" applyAlignment="1">
      <alignment horizontal="center" vertical="center"/>
    </xf>
    <xf numFmtId="1" fontId="4" fillId="5" borderId="14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2" fillId="0" borderId="24" xfId="1" applyBorder="1" applyAlignment="1">
      <alignment horizontal="center"/>
    </xf>
    <xf numFmtId="0" fontId="2" fillId="0" borderId="25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6" workbookViewId="0">
      <selection activeCell="B13" sqref="B13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8" width="10" style="12" bestFit="1" customWidth="1"/>
    <col min="9" max="16384" width="10.83203125" style="12"/>
  </cols>
  <sheetData>
    <row r="1" spans="1:10" s="16" customFormat="1" ht="17" thickBot="1" x14ac:dyDescent="0.25">
      <c r="A1" s="53" t="s">
        <v>0</v>
      </c>
      <c r="B1" s="17" t="s">
        <v>12</v>
      </c>
      <c r="C1" s="18" t="s">
        <v>18</v>
      </c>
      <c r="D1" s="19" t="s">
        <v>19</v>
      </c>
      <c r="E1" s="29" t="s">
        <v>13</v>
      </c>
      <c r="F1" s="30" t="s">
        <v>14</v>
      </c>
      <c r="G1" s="31" t="s">
        <v>15</v>
      </c>
      <c r="H1" s="41" t="s">
        <v>20</v>
      </c>
      <c r="I1" s="42" t="s">
        <v>21</v>
      </c>
      <c r="J1" s="43" t="s">
        <v>22</v>
      </c>
    </row>
    <row r="2" spans="1:10" x14ac:dyDescent="0.2">
      <c r="A2" s="54" t="s">
        <v>24</v>
      </c>
      <c r="B2" s="20">
        <f>C2/10.76391</f>
        <v>1950.9639155288369</v>
      </c>
      <c r="C2" s="21">
        <f>((1000/B8)*'Per m weight'!B3)*A8</f>
        <v>21000</v>
      </c>
      <c r="D2" s="22">
        <f>+A8*2.8</f>
        <v>2100</v>
      </c>
      <c r="E2" s="32">
        <f>F2/10.76391</f>
        <v>2102.1633165829148</v>
      </c>
      <c r="F2" s="33">
        <f>C2+((((420*0.03937)*39.37)*(1000/B8))*0.25)</f>
        <v>22627.496745</v>
      </c>
      <c r="G2" s="34">
        <f>+D2+(((418/25.4)*39.37008)*0.25)</f>
        <v>2261.9753291338584</v>
      </c>
      <c r="H2" s="44">
        <f>I2/10.76391</f>
        <v>2374.3222384802548</v>
      </c>
      <c r="I2" s="45">
        <f>C2+((((420*0.03937)*39.37)*(1000/B8))*0.7)</f>
        <v>25556.990886</v>
      </c>
      <c r="J2" s="46">
        <f>+D2+(((418/25.4)*39.37008)*0.6)</f>
        <v>2488.7407899212599</v>
      </c>
    </row>
    <row r="3" spans="1:10" x14ac:dyDescent="0.2">
      <c r="A3" s="55" t="s">
        <v>2</v>
      </c>
      <c r="B3" s="23">
        <f>C3/10.76391</f>
        <v>75.530174444044974</v>
      </c>
      <c r="C3" s="24">
        <f>((((1000/B8)*2)*50/1000)*'Per m weight'!B4)*A8</f>
        <v>813</v>
      </c>
      <c r="D3" s="25">
        <f>+A8*1.365</f>
        <v>1023.75</v>
      </c>
      <c r="E3" s="35">
        <f>F3/10.76391</f>
        <v>84.890137366440271</v>
      </c>
      <c r="F3" s="36">
        <f>C3+((((260*0.03937)*39.37)*((1000/B8)*2)*50/1000)*0.25)</f>
        <v>913.7497985</v>
      </c>
      <c r="G3" s="37">
        <f>+D3+(((166/25.4)*39.37008)*0.25)</f>
        <v>1088.0751307086614</v>
      </c>
      <c r="H3" s="47">
        <f>I3/10.76391</f>
        <v>101.73807062675182</v>
      </c>
      <c r="I3" s="48">
        <f>C3+((((260*0.03937)*39.37)*((1000/B8)*2)*(50/1000))*0.7)</f>
        <v>1095.0994358</v>
      </c>
      <c r="J3" s="49">
        <f>+D3+(((166/25.4)*39.37008)*0.6)</f>
        <v>1178.1303137007874</v>
      </c>
    </row>
    <row r="4" spans="1:10" x14ac:dyDescent="0.2">
      <c r="A4" s="57" t="s">
        <v>23</v>
      </c>
      <c r="B4" s="23">
        <f>C4/10.76391</f>
        <v>95.109490882030798</v>
      </c>
      <c r="C4" s="24">
        <f>((((1000/B8)*2)*50/1000)*1.365)*A8</f>
        <v>1023.75</v>
      </c>
      <c r="D4" s="25">
        <f>+A8*1.084</f>
        <v>813</v>
      </c>
      <c r="E4" s="35">
        <f>F4/10.76391</f>
        <v>108.64543726211016</v>
      </c>
      <c r="F4" s="36">
        <f>C4+((((376*0.03937)*39.37)*((1000/B8)*2)*50/1000)*0.25)</f>
        <v>1169.4497086000001</v>
      </c>
      <c r="G4" s="37">
        <f>+D4+(((260/25.4)*39.37008)*0.25)</f>
        <v>913.75020472440951</v>
      </c>
      <c r="H4" s="47">
        <f>I4/10.76391</f>
        <v>133.010140746253</v>
      </c>
      <c r="I4" s="48">
        <f>C4+((((376*0.03937)*39.37)*((1000/B8)*2)*(50/1000))*0.7)</f>
        <v>1431.7091840799999</v>
      </c>
      <c r="J4" s="49">
        <f>+D4+(((260/25.4)*39.37008)*0.6)</f>
        <v>1054.8004913385828</v>
      </c>
    </row>
    <row r="5" spans="1:10" s="16" customFormat="1" ht="17" thickBot="1" x14ac:dyDescent="0.25">
      <c r="A5" s="56" t="s">
        <v>17</v>
      </c>
      <c r="B5" s="26">
        <f>SUM(B2:B4)</f>
        <v>2121.6035808549127</v>
      </c>
      <c r="C5" s="27">
        <f>SUM(C2:C4)</f>
        <v>22836.75</v>
      </c>
      <c r="D5" s="28"/>
      <c r="E5" s="38">
        <f>SUM(E2:E4)</f>
        <v>2295.6988912114653</v>
      </c>
      <c r="F5" s="39">
        <f>SUM(F2:F4)</f>
        <v>24710.696252100002</v>
      </c>
      <c r="G5" s="40"/>
      <c r="H5" s="50">
        <f>SUM(H2:H4)</f>
        <v>2609.0704498532596</v>
      </c>
      <c r="I5" s="51">
        <f>SUM(I2:I4)</f>
        <v>28083.799505879997</v>
      </c>
      <c r="J5" s="52"/>
    </row>
    <row r="6" spans="1:10" ht="17" thickBot="1" x14ac:dyDescent="0.25">
      <c r="B6" s="13"/>
      <c r="C6" s="13"/>
      <c r="D6" s="13"/>
      <c r="E6" s="13"/>
      <c r="F6" s="13"/>
      <c r="G6" s="13"/>
      <c r="H6" s="13"/>
      <c r="I6" s="13"/>
      <c r="J6" s="13"/>
    </row>
    <row r="7" spans="1:10" x14ac:dyDescent="0.2">
      <c r="A7" s="10" t="s">
        <v>16</v>
      </c>
      <c r="B7" s="11" t="s">
        <v>1</v>
      </c>
    </row>
    <row r="8" spans="1:10" ht="17" thickBot="1" x14ac:dyDescent="0.25">
      <c r="A8" s="14">
        <v>750</v>
      </c>
      <c r="B8" s="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G5"/>
  <sheetViews>
    <sheetView zoomScale="125" workbookViewId="0">
      <selection activeCell="A19" sqref="A19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7" ht="16" thickBot="1" x14ac:dyDescent="0.25">
      <c r="A1" s="59" t="s">
        <v>3</v>
      </c>
      <c r="B1" s="60"/>
      <c r="C1" s="60"/>
    </row>
    <row r="2" spans="1:7" ht="32" customHeight="1" thickBot="1" x14ac:dyDescent="0.25">
      <c r="A2" s="2" t="s">
        <v>4</v>
      </c>
      <c r="B2" s="3" t="s">
        <v>5</v>
      </c>
      <c r="C2" s="4" t="s">
        <v>6</v>
      </c>
    </row>
    <row r="3" spans="1:7" x14ac:dyDescent="0.2">
      <c r="A3" s="8" t="s">
        <v>9</v>
      </c>
      <c r="B3" s="6">
        <v>2.8</v>
      </c>
      <c r="C3" s="7">
        <v>418</v>
      </c>
    </row>
    <row r="4" spans="1:7" ht="32" x14ac:dyDescent="0.2">
      <c r="A4" s="9" t="s">
        <v>10</v>
      </c>
      <c r="B4" s="6">
        <v>1.0840000000000001</v>
      </c>
      <c r="C4" s="7">
        <v>260</v>
      </c>
      <c r="E4" s="1">
        <f>+B4/1000</f>
        <v>1.0840000000000001E-3</v>
      </c>
      <c r="F4" s="1">
        <f>+E4*150</f>
        <v>0.16260000000000002</v>
      </c>
      <c r="G4" s="1">
        <f>+C4*0.15</f>
        <v>39</v>
      </c>
    </row>
    <row r="5" spans="1:7" x14ac:dyDescent="0.2">
      <c r="A5" s="5" t="s">
        <v>11</v>
      </c>
      <c r="B5" s="6">
        <v>1.365</v>
      </c>
      <c r="C5" s="7">
        <v>166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0CFB-53A0-294A-8322-EB6341B3604F}">
  <dimension ref="A1:C2"/>
  <sheetViews>
    <sheetView workbookViewId="0">
      <selection activeCell="D16" sqref="D16"/>
    </sheetView>
  </sheetViews>
  <sheetFormatPr baseColWidth="10" defaultRowHeight="16" x14ac:dyDescent="0.2"/>
  <sheetData>
    <row r="1" spans="1:3" ht="17" x14ac:dyDescent="0.2">
      <c r="A1" s="58" t="s">
        <v>7</v>
      </c>
      <c r="B1" s="58"/>
      <c r="C1" s="1">
        <v>0.25</v>
      </c>
    </row>
    <row r="2" spans="1:3" ht="17" x14ac:dyDescent="0.2">
      <c r="A2" s="58" t="s">
        <v>8</v>
      </c>
      <c r="B2" s="58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2026-02-23T07:37:27Z</dcterms:modified>
</cp:coreProperties>
</file>