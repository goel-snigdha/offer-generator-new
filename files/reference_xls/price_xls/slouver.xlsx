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52363D38-0441-874A-8279-48C8E98D5E37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Price" sheetId="1" r:id="rId1"/>
    <sheet name="Per m weight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J4" i="1" s="1"/>
  <c r="D3" i="1"/>
  <c r="J3" i="1" s="1"/>
  <c r="D2" i="1"/>
  <c r="J2" i="1" s="1"/>
  <c r="C2" i="1"/>
  <c r="B2" i="1" s="1"/>
  <c r="C4" i="1"/>
  <c r="I4" i="1" s="1"/>
  <c r="C3" i="1"/>
  <c r="F3" i="1" s="1"/>
  <c r="E3" i="1" s="1"/>
  <c r="D34" i="2"/>
  <c r="D33" i="2"/>
  <c r="D26" i="2"/>
  <c r="D25" i="2"/>
  <c r="H20" i="2"/>
  <c r="F20" i="2"/>
  <c r="G20" i="2" s="1"/>
  <c r="L8" i="2"/>
  <c r="G2" i="1" l="1"/>
  <c r="G3" i="1"/>
  <c r="B3" i="1"/>
  <c r="G4" i="1"/>
  <c r="B4" i="1"/>
  <c r="B6" i="1" s="1"/>
  <c r="I2" i="1"/>
  <c r="H2" i="1" s="1"/>
  <c r="H6" i="1" s="1"/>
  <c r="F4" i="1"/>
  <c r="E4" i="1" s="1"/>
  <c r="B5" i="1"/>
  <c r="H4" i="1"/>
  <c r="I3" i="1"/>
  <c r="F2" i="1"/>
  <c r="C5" i="1"/>
  <c r="C6" i="1"/>
  <c r="I6" i="1" l="1"/>
  <c r="H3" i="1"/>
  <c r="H5" i="1" s="1"/>
  <c r="I5" i="1"/>
  <c r="E2" i="1"/>
  <c r="F6" i="1"/>
  <c r="F5" i="1"/>
  <c r="E6" i="1" l="1"/>
  <c r="E5" i="1"/>
</calcChain>
</file>

<file path=xl/sharedStrings.xml><?xml version="1.0" encoding="utf-8"?>
<sst xmlns="http://schemas.openxmlformats.org/spreadsheetml/2006/main" count="77" uniqueCount="75">
  <si>
    <t>Product</t>
  </si>
  <si>
    <t>Conversion Rate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</si>
  <si>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</si>
  <si>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</si>
  <si>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</si>
  <si>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</si>
  <si>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</si>
  <si>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</si>
  <si>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</si>
  <si>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</si>
  <si>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</si>
  <si>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Single Coated Profile</t>
  </si>
  <si>
    <t>Double Coated Profile</t>
  </si>
  <si>
    <t>Carrier</t>
  </si>
  <si>
    <t>Single Side Coating</t>
  </si>
  <si>
    <t>Double Side Coating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</si>
  <si>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</si>
  <si>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</si>
  <si>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</si>
  <si>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</si>
  <si>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</si>
  <si>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</si>
  <si>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</si>
  <si>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2550</t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</si>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</sst>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92">
    <xf numFmtId="0" fontId="0" fillId="0" borderId="0" xfId="0"/>
    <xf numFmtId="0" fontId="0" fillId="0" borderId="0" xfId="0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1" fontId="4" fillId="4" borderId="9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16" xfId="0" applyBorder="1"/>
    <xf numFmtId="164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/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1" xfId="0" applyFill="1" applyBorder="1"/>
    <xf numFmtId="0" fontId="0" fillId="0" borderId="1" xfId="0" applyBorder="1" applyAlignment="1">
      <alignment vertical="top" wrapText="1"/>
    </xf>
    <xf numFmtId="0" fontId="0" fillId="0" borderId="15" xfId="0" applyBorder="1"/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9" xfId="0" applyBorder="1"/>
    <xf numFmtId="164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" xfId="0" applyFill="1" applyBorder="1"/>
    <xf numFmtId="0" fontId="0" fillId="6" borderId="2" xfId="0" applyFill="1" applyBorder="1" applyAlignment="1">
      <alignment horizontal="center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0" fontId="0" fillId="8" borderId="2" xfId="0" applyFill="1" applyBorder="1"/>
    <xf numFmtId="0" fontId="0" fillId="8" borderId="2" xfId="0" applyFill="1" applyBorder="1" applyAlignment="1">
      <alignment horizontal="center" vertical="center"/>
    </xf>
    <xf numFmtId="0" fontId="0" fillId="9" borderId="2" xfId="0" applyFill="1" applyBorder="1"/>
    <xf numFmtId="0" fontId="0" fillId="9" borderId="2" xfId="0" applyFill="1" applyBorder="1" applyAlignment="1">
      <alignment horizontal="center" vertical="center"/>
    </xf>
    <xf numFmtId="0" fontId="0" fillId="0" borderId="2" xfId="0" applyBorder="1"/>
    <xf numFmtId="0" fontId="0" fillId="7" borderId="2" xfId="0" applyFill="1" applyBorder="1" applyAlignment="1">
      <alignment horizontal="left" vertical="center"/>
    </xf>
    <xf numFmtId="0" fontId="0" fillId="10" borderId="2" xfId="0" applyFill="1" applyBorder="1"/>
    <xf numFmtId="0" fontId="0" fillId="10" borderId="2" xfId="0" applyFill="1" applyBorder="1" applyAlignment="1">
      <alignment horizontal="center" vertical="center"/>
    </xf>
    <xf numFmtId="0" fontId="0" fillId="5" borderId="2" xfId="0" applyFill="1" applyBorder="1"/>
    <xf numFmtId="0" fontId="0" fillId="5" borderId="2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1" fontId="4" fillId="4" borderId="25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1" fontId="4" fillId="3" borderId="9" xfId="0" applyNumberFormat="1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" fontId="4" fillId="2" borderId="27" xfId="0" applyNumberFormat="1" applyFont="1" applyFill="1" applyBorder="1" applyAlignment="1">
      <alignment horizontal="center" vertical="center"/>
    </xf>
    <xf numFmtId="1" fontId="4" fillId="2" borderId="28" xfId="0" applyNumberFormat="1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horizontal="center" vertical="center"/>
    </xf>
    <xf numFmtId="1" fontId="4" fillId="3" borderId="27" xfId="0" applyNumberFormat="1" applyFont="1" applyFill="1" applyBorder="1" applyAlignment="1">
      <alignment horizontal="center" vertical="center"/>
    </xf>
    <xf numFmtId="1" fontId="4" fillId="3" borderId="28" xfId="0" applyNumberFormat="1" applyFont="1" applyFill="1" applyBorder="1" applyAlignment="1">
      <alignment horizontal="center" vertical="center"/>
    </xf>
    <xf numFmtId="1" fontId="4" fillId="3" borderId="29" xfId="0" applyNumberFormat="1" applyFont="1" applyFill="1" applyBorder="1" applyAlignment="1">
      <alignment horizontal="center" vertical="center"/>
    </xf>
    <xf numFmtId="1" fontId="4" fillId="4" borderId="30" xfId="0" applyNumberFormat="1" applyFont="1" applyFill="1" applyBorder="1" applyAlignment="1">
      <alignment horizontal="center" vertical="center"/>
    </xf>
    <xf numFmtId="1" fontId="4" fillId="4" borderId="28" xfId="0" applyNumberFormat="1" applyFont="1" applyFill="1" applyBorder="1" applyAlignment="1">
      <alignment horizontal="center" vertical="center"/>
    </xf>
    <xf numFmtId="1" fontId="4" fillId="4" borderId="29" xfId="0" applyNumberFormat="1" applyFont="1" applyFill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 vertical="center"/>
    </xf>
    <xf numFmtId="1" fontId="7" fillId="2" borderId="34" xfId="0" applyNumberFormat="1" applyFont="1" applyFill="1" applyBorder="1" applyAlignment="1">
      <alignment horizontal="center" vertical="center"/>
    </xf>
    <xf numFmtId="1" fontId="7" fillId="3" borderId="32" xfId="0" applyNumberFormat="1" applyFont="1" applyFill="1" applyBorder="1" applyAlignment="1">
      <alignment horizontal="center" vertical="center"/>
    </xf>
    <xf numFmtId="1" fontId="7" fillId="3" borderId="33" xfId="0" applyNumberFormat="1" applyFont="1" applyFill="1" applyBorder="1" applyAlignment="1">
      <alignment horizontal="center" vertical="center"/>
    </xf>
    <xf numFmtId="1" fontId="7" fillId="3" borderId="34" xfId="0" applyNumberFormat="1" applyFont="1" applyFill="1" applyBorder="1" applyAlignment="1">
      <alignment horizontal="center" vertical="center"/>
    </xf>
    <xf numFmtId="1" fontId="7" fillId="4" borderId="35" xfId="0" applyNumberFormat="1" applyFont="1" applyFill="1" applyBorder="1" applyAlignment="1">
      <alignment horizontal="center" vertical="center"/>
    </xf>
    <xf numFmtId="1" fontId="7" fillId="4" borderId="33" xfId="0" applyNumberFormat="1" applyFont="1" applyFill="1" applyBorder="1" applyAlignment="1">
      <alignment horizontal="center" vertical="center"/>
    </xf>
    <xf numFmtId="1" fontId="7" fillId="4" borderId="36" xfId="0" applyNumberFormat="1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1" fontId="7" fillId="2" borderId="38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40" xfId="0" applyNumberFormat="1" applyFont="1" applyFill="1" applyBorder="1" applyAlignment="1">
      <alignment horizontal="center" vertical="center"/>
    </xf>
    <xf numFmtId="1" fontId="7" fillId="3" borderId="38" xfId="0" applyNumberFormat="1" applyFont="1" applyFill="1" applyBorder="1" applyAlignment="1">
      <alignment horizontal="center" vertical="center"/>
    </xf>
    <xf numFmtId="1" fontId="7" fillId="3" borderId="39" xfId="0" applyNumberFormat="1" applyFont="1" applyFill="1" applyBorder="1" applyAlignment="1">
      <alignment horizontal="center" vertical="center"/>
    </xf>
    <xf numFmtId="1" fontId="7" fillId="3" borderId="40" xfId="0" applyNumberFormat="1" applyFont="1" applyFill="1" applyBorder="1" applyAlignment="1">
      <alignment horizontal="center" vertical="center"/>
    </xf>
    <xf numFmtId="1" fontId="7" fillId="4" borderId="41" xfId="0" applyNumberFormat="1" applyFont="1" applyFill="1" applyBorder="1" applyAlignment="1">
      <alignment horizontal="center" vertical="center"/>
    </xf>
    <xf numFmtId="1" fontId="7" fillId="4" borderId="39" xfId="0" applyNumberFormat="1" applyFont="1" applyFill="1" applyBorder="1" applyAlignment="1">
      <alignment horizontal="center" vertical="center"/>
    </xf>
    <xf numFmtId="1" fontId="7" fillId="4" borderId="4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5" xfId="0" applyFont="1" applyBorder="1" applyAlignment="1">
      <alignment horizontal="left" vertical="center" textRotation="90"/>
    </xf>
    <xf numFmtId="0" fontId="0" fillId="0" borderId="1" xfId="0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esktop/New%20Dynamic%20Pricing_Jan2023_R3.xlsx" TargetMode="External"/><Relationship Id="rId1" Type="http://schemas.openxmlformats.org/officeDocument/2006/relationships/externalLinkPath" Target="/Users/snigdhagoel/Desktop/New%20Dynamic%20Pricing_Jan2023_R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near Grilles"/>
      <sheetName val="New S Louvers"/>
      <sheetName val="S Louvers"/>
      <sheetName val="Aerofoils"/>
      <sheetName val="25x100"/>
      <sheetName val="25x75"/>
      <sheetName val="25x50"/>
      <sheetName val="30x60"/>
      <sheetName val="50 x 125"/>
      <sheetName val="50x100"/>
      <sheetName val="50x75"/>
      <sheetName val="50x50"/>
      <sheetName val="Rectangular 50124"/>
      <sheetName val="C Louvers"/>
      <sheetName val="Cottal 130"/>
      <sheetName val="Per m weight"/>
      <sheetName val="Turkey Fluted"/>
      <sheetName val="Hindalco Fluted Pan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0">
          <cell r="D10">
            <v>136</v>
          </cell>
        </row>
      </sheetData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="136" workbookViewId="0">
      <selection activeCell="A10" sqref="A10"/>
    </sheetView>
  </sheetViews>
  <sheetFormatPr baseColWidth="10" defaultColWidth="11.5" defaultRowHeight="16" x14ac:dyDescent="0.2"/>
  <cols>
    <col min="1" max="1" width="23.1640625" style="1" bestFit="1" customWidth="1"/>
    <col min="2" max="2" width="14" style="1" bestFit="1" customWidth="1"/>
    <col min="3" max="3" width="14.33203125" style="1" bestFit="1" customWidth="1"/>
    <col min="4" max="4" width="24.1640625" style="1" bestFit="1" customWidth="1"/>
    <col min="5" max="5" width="20.33203125" style="1" customWidth="1"/>
    <col min="6" max="6" width="18.6640625" style="1" bestFit="1" customWidth="1"/>
    <col min="7" max="7" width="17.83203125" style="1" bestFit="1" customWidth="1"/>
    <col min="8" max="16384" width="11.5" style="1"/>
  </cols>
  <sheetData>
    <row r="1" spans="1:10" x14ac:dyDescent="0.2">
      <c r="A1" s="46" t="s">
        <v>0</v>
      </c>
      <c r="B1" s="48" t="s">
        <v>2</v>
      </c>
      <c r="C1" s="5" t="s">
        <v>3</v>
      </c>
      <c r="D1" s="49" t="s">
        <v>4</v>
      </c>
      <c r="E1" s="54" t="s">
        <v>5</v>
      </c>
      <c r="F1" s="6" t="s">
        <v>7</v>
      </c>
      <c r="G1" s="55" t="s">
        <v>9</v>
      </c>
      <c r="H1" s="52" t="s">
        <v>6</v>
      </c>
      <c r="I1" s="7" t="s">
        <v>8</v>
      </c>
      <c r="J1" s="8" t="s">
        <v>10</v>
      </c>
    </row>
    <row r="2" spans="1:10" x14ac:dyDescent="0.2">
      <c r="A2" s="47" t="s">
        <v>13</v>
      </c>
      <c r="B2" s="50">
        <f>C2/10.76391</f>
        <v>67.749040767910245</v>
      </c>
      <c r="C2" s="2">
        <f>((((1000/133.7)*2)*50/1000)*'Per m weight'!C9)*A9</f>
        <v>729.24457741211677</v>
      </c>
      <c r="D2" s="51">
        <f>+A9*'Per m weight'!C9</f>
        <v>975</v>
      </c>
      <c r="E2" s="56">
        <f>F2/10.76391</f>
        <v>78.78866010329665</v>
      </c>
      <c r="F2" s="3">
        <f>C2+(('Per m weight'!D9/25.4)*39.37)*(((1000/133.7)*2)*50/1000)*'Per m weight'!H3</f>
        <v>848.07404637247578</v>
      </c>
      <c r="G2" s="57">
        <f>+D2+((('Per m weight'!D9/25.4)*39.37008)*'Per m weight'!H3)</f>
        <v>1133.8753228346457</v>
      </c>
      <c r="H2" s="53">
        <f>I2/10.76391</f>
        <v>94.244127172837608</v>
      </c>
      <c r="I2" s="4">
        <f>C2+(('Per m weight'!D9/25.4)*39.37)*(((1000/133.7)*2)*50/1000)*'Per m weight'!H4</f>
        <v>1014.4353029169783</v>
      </c>
      <c r="J2" s="9">
        <f>+D2+((('Per m weight'!D9/25.4)*39.37008)*'Per m weight'!H4)</f>
        <v>1356.3007748031496</v>
      </c>
    </row>
    <row r="3" spans="1:10" x14ac:dyDescent="0.2">
      <c r="A3" s="47" t="s">
        <v>14</v>
      </c>
      <c r="B3" s="50">
        <f>C3/10.76391</f>
        <v>691.96749713338045</v>
      </c>
      <c r="C3" s="2">
        <f>((1000/B9)*'Per m weight'!C7)*A9</f>
        <v>7448.2758620689647</v>
      </c>
      <c r="D3" s="51">
        <f>+A9*'Per m weight'!C7</f>
        <v>324</v>
      </c>
      <c r="E3" s="56">
        <f>F3/10.76391</f>
        <v>791.27744856463039</v>
      </c>
      <c r="F3" s="3">
        <f>C3+(((('Per m weight'!D7*0.03937)*39.37)*(1000/B9))*'Per m weight'!H3)</f>
        <v>8517.2392413793095</v>
      </c>
      <c r="G3" s="57">
        <f>+D3+((('Per m weight'!D7/25.4)*39.37008)*'Per m weight'!H3)</f>
        <v>370.50009448818901</v>
      </c>
      <c r="H3" s="53">
        <f t="shared" ref="H3:H4" si="0">I3/10.76391</f>
        <v>930.31138056838017</v>
      </c>
      <c r="I3" s="4">
        <f>C3+(((('Per m weight'!D7*0.03937)*39.37)*(1000/B9))*'Per m weight'!H4)</f>
        <v>10013.787972413793</v>
      </c>
      <c r="J3" s="9">
        <f>+D3+((('Per m weight'!D7/25.4)*39.37008)*'Per m weight'!H4)</f>
        <v>435.60022677165358</v>
      </c>
    </row>
    <row r="4" spans="1:10" ht="17" thickBot="1" x14ac:dyDescent="0.25">
      <c r="A4" s="58" t="s">
        <v>15</v>
      </c>
      <c r="B4" s="59">
        <f>C4/10.76391</f>
        <v>691.96749713338045</v>
      </c>
      <c r="C4" s="60">
        <f>((1000/B9)*'Per m weight'!C7)*A9</f>
        <v>7448.2758620689647</v>
      </c>
      <c r="D4" s="61">
        <f>+A9*'Per m weight'!C7</f>
        <v>324</v>
      </c>
      <c r="E4" s="62">
        <f>F4/10.76391</f>
        <v>824.3807657083803</v>
      </c>
      <c r="F4" s="63">
        <f>C4+(((('Per m weight'!D8*0.03937)*39.37)*(1000/B9))*'Per m weight'!H3)</f>
        <v>8873.5603678160915</v>
      </c>
      <c r="G4" s="64">
        <f>+D4+((('Per m weight'!D8/25.4)*39.37008)*'Per m weight'!H3)</f>
        <v>386.00012598425195</v>
      </c>
      <c r="H4" s="65">
        <f t="shared" si="0"/>
        <v>1009.7593417133801</v>
      </c>
      <c r="I4" s="66">
        <f>C4+(((('Per m weight'!D8*0.03937)*39.37)*(1000/B9))*'Per m weight'!H4)</f>
        <v>10868.958675862068</v>
      </c>
      <c r="J4" s="67">
        <f>+D4+((('Per m weight'!D8/25.4)*39.37008)*'Per m weight'!H4)</f>
        <v>472.80030236220472</v>
      </c>
    </row>
    <row r="5" spans="1:10" x14ac:dyDescent="0.2">
      <c r="A5" s="68" t="s">
        <v>11</v>
      </c>
      <c r="B5" s="69">
        <f>SUM(B2:B3)</f>
        <v>759.71653790129074</v>
      </c>
      <c r="C5" s="70">
        <f>SUM(C2:C3)</f>
        <v>8177.5204394810817</v>
      </c>
      <c r="D5" s="71"/>
      <c r="E5" s="72">
        <f>SUM(E2:E3)</f>
        <v>870.06610866792698</v>
      </c>
      <c r="F5" s="73">
        <f>SUM(F2:F3)</f>
        <v>9365.3132877517855</v>
      </c>
      <c r="G5" s="74"/>
      <c r="H5" s="75">
        <f>SUM(H2:H3)</f>
        <v>1024.5555077412178</v>
      </c>
      <c r="I5" s="76">
        <f>SUM(I2:I3)</f>
        <v>11028.223275330771</v>
      </c>
      <c r="J5" s="77"/>
    </row>
    <row r="6" spans="1:10" ht="17" thickBot="1" x14ac:dyDescent="0.25">
      <c r="A6" s="78" t="s">
        <v>12</v>
      </c>
      <c r="B6" s="79">
        <f>SUM(B2,B4)</f>
        <v>759.71653790129074</v>
      </c>
      <c r="C6" s="80">
        <f>SUM(C2,C4)</f>
        <v>8177.5204394810817</v>
      </c>
      <c r="D6" s="81"/>
      <c r="E6" s="82">
        <f>SUM(E2,E4)</f>
        <v>903.169425811677</v>
      </c>
      <c r="F6" s="83">
        <f>SUM(F2,F4)</f>
        <v>9721.6344141885675</v>
      </c>
      <c r="G6" s="84"/>
      <c r="H6" s="85">
        <f>SUM(H2,H4)</f>
        <v>1104.0034688862177</v>
      </c>
      <c r="I6" s="86">
        <f>SUM(I2,I4)</f>
        <v>11883.393978779046</v>
      </c>
      <c r="J6" s="87"/>
    </row>
    <row r="7" spans="1:10" ht="17" thickBot="1" x14ac:dyDescent="0.25"/>
    <row r="8" spans="1:10" x14ac:dyDescent="0.2">
      <c r="A8" s="42" t="s">
        <v>1</v>
      </c>
      <c r="B8" s="43" t="s">
        <v>74</v>
      </c>
    </row>
    <row r="9" spans="1:10" ht="17" thickBot="1" x14ac:dyDescent="0.25">
      <c r="A9" s="44">
        <v>750</v>
      </c>
      <c r="B9" s="45">
        <v>43.5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1F81-A792-AF4B-B3E3-7017CE23155A}">
  <dimension ref="A1:L52"/>
  <sheetViews>
    <sheetView workbookViewId="0">
      <selection sqref="A1:XFD1048576"/>
    </sheetView>
  </sheetViews>
  <sheetFormatPr baseColWidth="10" defaultColWidth="8.6640625" defaultRowHeight="16" x14ac:dyDescent="0.2"/>
  <cols>
    <col min="1" max="1" width="3.6640625" style="36" bestFit="1" customWidth="1"/>
    <col min="2" max="2" width="47.33203125" bestFit="1" customWidth="1"/>
    <col min="3" max="3" width="7.5" bestFit="1" customWidth="1"/>
    <col min="4" max="4" width="10" bestFit="1" customWidth="1"/>
    <col min="5" max="5" width="17.6640625" bestFit="1" customWidth="1"/>
    <col min="6" max="7" width="13.6640625" customWidth="1"/>
  </cols>
  <sheetData>
    <row r="1" spans="1:12" ht="17" thickBot="1" x14ac:dyDescent="0.25">
      <c r="A1" s="88" t="s">
        <v>16</v>
      </c>
      <c r="B1" s="88"/>
      <c r="C1" s="88"/>
      <c r="D1" s="88"/>
    </row>
    <row r="2" spans="1:12" ht="32" customHeight="1" thickBot="1" x14ac:dyDescent="0.25">
      <c r="A2"/>
      <c r="B2" s="10" t="s">
        <v>17</v>
      </c>
      <c r="C2" s="11" t="s">
        <v>18</v>
      </c>
      <c r="D2" s="12" t="s">
        <v>19</v>
      </c>
    </row>
    <row r="3" spans="1:12" ht="17" x14ac:dyDescent="0.2">
      <c r="A3" s="89" t="s">
        <v>20</v>
      </c>
      <c r="B3" s="13" t="s">
        <v>21</v>
      </c>
      <c r="C3" s="14">
        <v>0.373</v>
      </c>
      <c r="D3" s="15">
        <v>130</v>
      </c>
      <c r="F3" s="88" t="s">
        <v>22</v>
      </c>
      <c r="G3" s="88"/>
      <c r="H3">
        <v>0.25</v>
      </c>
    </row>
    <row r="4" spans="1:12" ht="17" x14ac:dyDescent="0.2">
      <c r="A4" s="89"/>
      <c r="B4" s="16" t="s">
        <v>23</v>
      </c>
      <c r="C4" s="17">
        <v>0.40600000000000003</v>
      </c>
      <c r="D4" s="18">
        <v>140</v>
      </c>
      <c r="F4" s="88" t="s">
        <v>24</v>
      </c>
      <c r="G4" s="88"/>
      <c r="H4">
        <v>0.6</v>
      </c>
    </row>
    <row r="5" spans="1:12" x14ac:dyDescent="0.2">
      <c r="A5" s="89"/>
      <c r="B5" s="16" t="s">
        <v>25</v>
      </c>
      <c r="C5" s="17">
        <v>0.313</v>
      </c>
      <c r="D5" s="18">
        <v>115</v>
      </c>
    </row>
    <row r="6" spans="1:12" x14ac:dyDescent="0.2">
      <c r="A6" s="89"/>
      <c r="B6" s="16" t="s">
        <v>26</v>
      </c>
      <c r="C6" s="17">
        <v>0.113</v>
      </c>
      <c r="D6" s="18">
        <v>40</v>
      </c>
    </row>
    <row r="7" spans="1:12" x14ac:dyDescent="0.2">
      <c r="A7" s="89"/>
      <c r="B7" s="90" t="s">
        <v>27</v>
      </c>
      <c r="C7" s="91">
        <v>0.432</v>
      </c>
      <c r="D7" s="18">
        <v>120</v>
      </c>
      <c r="E7" t="s">
        <v>28</v>
      </c>
    </row>
    <row r="8" spans="1:12" x14ac:dyDescent="0.2">
      <c r="A8" s="89"/>
      <c r="B8" s="90"/>
      <c r="C8" s="91"/>
      <c r="D8" s="18">
        <v>160</v>
      </c>
      <c r="E8" t="s">
        <v>29</v>
      </c>
      <c r="L8" t="e">
        <f>+F8+((('[1]Per m weight'!D10/25.4)*39.37008)*'[1]Per m weight'!#REF!)</f>
        <v>#REF!</v>
      </c>
    </row>
    <row r="9" spans="1:12" x14ac:dyDescent="0.2">
      <c r="A9" s="89"/>
      <c r="B9" s="16" t="s">
        <v>30</v>
      </c>
      <c r="C9" s="17">
        <v>1.3</v>
      </c>
      <c r="D9" s="18">
        <v>410</v>
      </c>
    </row>
    <row r="10" spans="1:12" x14ac:dyDescent="0.2">
      <c r="A10" s="89"/>
      <c r="B10" s="16" t="s">
        <v>31</v>
      </c>
      <c r="C10" s="17">
        <v>0.55700000000000005</v>
      </c>
      <c r="D10" s="18">
        <v>136</v>
      </c>
    </row>
    <row r="11" spans="1:12" x14ac:dyDescent="0.2">
      <c r="A11" s="89"/>
      <c r="B11" s="19" t="s">
        <v>32</v>
      </c>
      <c r="C11" s="17">
        <v>1.0820000000000001</v>
      </c>
      <c r="D11" s="18">
        <v>206</v>
      </c>
    </row>
    <row r="12" spans="1:12" x14ac:dyDescent="0.2">
      <c r="A12" s="89"/>
      <c r="B12" s="16" t="s">
        <v>33</v>
      </c>
      <c r="C12" s="17">
        <v>1.3260000000000001</v>
      </c>
      <c r="D12" s="18">
        <v>251</v>
      </c>
    </row>
    <row r="13" spans="1:12" x14ac:dyDescent="0.2">
      <c r="A13" s="89"/>
      <c r="B13" s="19" t="s">
        <v>34</v>
      </c>
      <c r="C13" s="17">
        <v>1.6160000000000001</v>
      </c>
      <c r="D13" s="18">
        <v>315</v>
      </c>
    </row>
    <row r="14" spans="1:12" x14ac:dyDescent="0.2">
      <c r="A14" s="89"/>
      <c r="B14" s="19" t="s">
        <v>35</v>
      </c>
      <c r="C14" s="17">
        <v>2.8</v>
      </c>
      <c r="D14" s="18">
        <v>418</v>
      </c>
    </row>
    <row r="15" spans="1:12" x14ac:dyDescent="0.2">
      <c r="A15" s="89"/>
      <c r="B15" s="16" t="s">
        <v>36</v>
      </c>
      <c r="C15" s="17">
        <v>2.8210000000000002</v>
      </c>
      <c r="D15" s="18">
        <v>425</v>
      </c>
    </row>
    <row r="16" spans="1:12" x14ac:dyDescent="0.2">
      <c r="A16" s="89"/>
      <c r="B16" s="19" t="s">
        <v>37</v>
      </c>
      <c r="C16" s="17">
        <v>2.9039999999999999</v>
      </c>
      <c r="D16" s="18">
        <v>520</v>
      </c>
    </row>
    <row r="17" spans="1:8" x14ac:dyDescent="0.2">
      <c r="A17" s="89"/>
      <c r="B17" s="16" t="s">
        <v>38</v>
      </c>
      <c r="C17" s="17">
        <v>1.7869999999999999</v>
      </c>
      <c r="D17" s="18">
        <v>323</v>
      </c>
    </row>
    <row r="18" spans="1:8" x14ac:dyDescent="0.2">
      <c r="A18" s="89"/>
      <c r="B18" s="16" t="s">
        <v>39</v>
      </c>
      <c r="C18" s="17">
        <v>1.6459999999999999</v>
      </c>
      <c r="D18" s="18">
        <v>183</v>
      </c>
    </row>
    <row r="19" spans="1:8" x14ac:dyDescent="0.2">
      <c r="A19" s="89"/>
      <c r="B19" s="16" t="s">
        <v>40</v>
      </c>
      <c r="C19" s="17">
        <v>1</v>
      </c>
      <c r="D19" s="18">
        <v>132</v>
      </c>
    </row>
    <row r="20" spans="1:8" ht="34" x14ac:dyDescent="0.2">
      <c r="A20" s="89"/>
      <c r="B20" s="20" t="s">
        <v>41</v>
      </c>
      <c r="C20" s="17">
        <v>1.0840000000000001</v>
      </c>
      <c r="D20" s="18">
        <v>260</v>
      </c>
      <c r="F20">
        <f>+C20/1000</f>
        <v>1.0840000000000001E-3</v>
      </c>
      <c r="G20">
        <f>+F20*150</f>
        <v>0.16260000000000002</v>
      </c>
      <c r="H20">
        <f>+D20*0.15</f>
        <v>39</v>
      </c>
    </row>
    <row r="21" spans="1:8" x14ac:dyDescent="0.2">
      <c r="A21" s="89"/>
      <c r="B21" s="16" t="s">
        <v>42</v>
      </c>
      <c r="C21" s="17">
        <v>0.99399999999999999</v>
      </c>
      <c r="D21" s="18">
        <v>118</v>
      </c>
    </row>
    <row r="22" spans="1:8" x14ac:dyDescent="0.2">
      <c r="A22" s="89"/>
      <c r="B22" s="16" t="s">
        <v>43</v>
      </c>
      <c r="C22" s="17">
        <v>1.365</v>
      </c>
      <c r="D22" s="18">
        <v>166</v>
      </c>
    </row>
    <row r="23" spans="1:8" x14ac:dyDescent="0.2">
      <c r="A23" s="89"/>
      <c r="B23" s="16" t="s">
        <v>44</v>
      </c>
      <c r="C23" s="17">
        <v>1</v>
      </c>
      <c r="D23" s="18">
        <v>177.5</v>
      </c>
    </row>
    <row r="24" spans="1:8" x14ac:dyDescent="0.2">
      <c r="A24" s="89"/>
      <c r="B24" s="16" t="s">
        <v>45</v>
      </c>
      <c r="C24" s="17">
        <v>1.3420000000000001</v>
      </c>
      <c r="D24" s="18">
        <v>251.5</v>
      </c>
    </row>
    <row r="25" spans="1:8" x14ac:dyDescent="0.2">
      <c r="A25" s="89"/>
      <c r="B25" s="16" t="s">
        <v>46</v>
      </c>
      <c r="C25" s="17">
        <v>0.35799999999999998</v>
      </c>
      <c r="D25" s="18">
        <f>4*25.4</f>
        <v>101.6</v>
      </c>
    </row>
    <row r="26" spans="1:8" x14ac:dyDescent="0.2">
      <c r="A26" s="89"/>
      <c r="B26" s="16" t="s">
        <v>47</v>
      </c>
      <c r="C26" s="17">
        <v>0.438</v>
      </c>
      <c r="D26" s="18">
        <f>4*25.4</f>
        <v>101.6</v>
      </c>
    </row>
    <row r="27" spans="1:8" x14ac:dyDescent="0.2">
      <c r="A27" s="89"/>
      <c r="B27" s="16" t="s">
        <v>48</v>
      </c>
      <c r="C27" s="17">
        <v>0.62</v>
      </c>
      <c r="D27" s="18">
        <v>265</v>
      </c>
    </row>
    <row r="28" spans="1:8" x14ac:dyDescent="0.2">
      <c r="A28" s="89"/>
      <c r="B28" s="16" t="s">
        <v>49</v>
      </c>
      <c r="C28" s="17">
        <v>2.544</v>
      </c>
      <c r="D28" s="18">
        <v>436</v>
      </c>
    </row>
    <row r="29" spans="1:8" x14ac:dyDescent="0.2">
      <c r="A29" s="89"/>
      <c r="B29" s="16" t="s">
        <v>50</v>
      </c>
      <c r="C29" s="17">
        <v>0.36899999999999999</v>
      </c>
      <c r="D29" s="18">
        <v>40</v>
      </c>
    </row>
    <row r="30" spans="1:8" x14ac:dyDescent="0.2">
      <c r="A30" s="89"/>
      <c r="B30" s="16" t="s">
        <v>51</v>
      </c>
      <c r="C30" s="17">
        <v>1.9219999999999999</v>
      </c>
      <c r="D30" s="18">
        <v>525</v>
      </c>
    </row>
    <row r="31" spans="1:8" x14ac:dyDescent="0.2">
      <c r="A31" s="89"/>
      <c r="B31" s="16" t="s">
        <v>52</v>
      </c>
      <c r="C31" s="17">
        <v>5.593</v>
      </c>
      <c r="D31" s="18">
        <v>580</v>
      </c>
    </row>
    <row r="32" spans="1:8" x14ac:dyDescent="0.2">
      <c r="A32" s="89"/>
      <c r="B32" s="16" t="s">
        <v>53</v>
      </c>
      <c r="C32" s="17">
        <v>0.28299999999999997</v>
      </c>
      <c r="D32" s="18">
        <v>36.5</v>
      </c>
    </row>
    <row r="33" spans="1:6" x14ac:dyDescent="0.2">
      <c r="A33" s="89"/>
      <c r="B33" s="16" t="s">
        <v>54</v>
      </c>
      <c r="C33" s="17">
        <v>1.444</v>
      </c>
      <c r="D33" s="18">
        <f>14*25.4</f>
        <v>355.59999999999997</v>
      </c>
    </row>
    <row r="34" spans="1:6" x14ac:dyDescent="0.2">
      <c r="A34" s="89"/>
      <c r="B34" s="16" t="s">
        <v>55</v>
      </c>
      <c r="C34" s="17">
        <v>0.76100000000000001</v>
      </c>
      <c r="D34" s="18">
        <f>5*25.4</f>
        <v>127</v>
      </c>
    </row>
    <row r="35" spans="1:6" x14ac:dyDescent="0.2">
      <c r="A35" s="21"/>
      <c r="B35" s="16" t="s">
        <v>56</v>
      </c>
      <c r="C35" s="22">
        <v>0.98</v>
      </c>
      <c r="D35" s="23">
        <v>200</v>
      </c>
      <c r="E35" s="1" t="s">
        <v>28</v>
      </c>
      <c r="F35" s="24"/>
    </row>
    <row r="36" spans="1:6" x14ac:dyDescent="0.2">
      <c r="A36" s="21"/>
      <c r="B36" s="25" t="s">
        <v>57</v>
      </c>
      <c r="C36" s="26">
        <v>1.3</v>
      </c>
      <c r="D36" s="27">
        <v>275</v>
      </c>
      <c r="E36" t="s">
        <v>28</v>
      </c>
    </row>
    <row r="37" spans="1:6" x14ac:dyDescent="0.2">
      <c r="A37" s="21"/>
      <c r="B37" s="28" t="s">
        <v>58</v>
      </c>
      <c r="C37" s="28"/>
      <c r="D37" s="29">
        <v>150</v>
      </c>
    </row>
    <row r="38" spans="1:6" x14ac:dyDescent="0.2">
      <c r="A38" s="21"/>
      <c r="B38" s="28" t="s">
        <v>59</v>
      </c>
      <c r="C38" s="28"/>
      <c r="D38" s="29">
        <v>150</v>
      </c>
    </row>
    <row r="39" spans="1:6" x14ac:dyDescent="0.2">
      <c r="A39" s="21"/>
      <c r="B39" s="30" t="s">
        <v>60</v>
      </c>
      <c r="C39" s="30"/>
      <c r="D39" s="31">
        <v>125</v>
      </c>
    </row>
    <row r="40" spans="1:6" x14ac:dyDescent="0.2">
      <c r="A40" s="21"/>
      <c r="B40" s="30" t="s">
        <v>61</v>
      </c>
      <c r="C40" s="30"/>
      <c r="D40" s="31">
        <v>125</v>
      </c>
    </row>
    <row r="41" spans="1:6" x14ac:dyDescent="0.2">
      <c r="A41" s="21"/>
      <c r="B41" s="32" t="s">
        <v>62</v>
      </c>
      <c r="C41" s="32"/>
      <c r="D41" s="33">
        <v>175</v>
      </c>
    </row>
    <row r="42" spans="1:6" x14ac:dyDescent="0.2">
      <c r="A42" s="21"/>
      <c r="B42" s="32" t="s">
        <v>63</v>
      </c>
      <c r="C42" s="32"/>
      <c r="D42" s="33">
        <v>125</v>
      </c>
    </row>
    <row r="43" spans="1:6" x14ac:dyDescent="0.2">
      <c r="A43" s="21"/>
      <c r="B43" s="34" t="s">
        <v>64</v>
      </c>
      <c r="C43" s="34"/>
      <c r="D43" s="35">
        <v>225</v>
      </c>
    </row>
    <row r="44" spans="1:6" x14ac:dyDescent="0.2">
      <c r="A44" s="21"/>
      <c r="B44" s="34" t="s">
        <v>65</v>
      </c>
      <c r="C44" s="34"/>
      <c r="D44" s="35">
        <v>125</v>
      </c>
    </row>
    <row r="45" spans="1:6" x14ac:dyDescent="0.2">
      <c r="B45" s="37" t="s">
        <v>66</v>
      </c>
      <c r="C45" s="31"/>
      <c r="D45" s="31">
        <v>200</v>
      </c>
    </row>
    <row r="46" spans="1:6" x14ac:dyDescent="0.2">
      <c r="B46" s="37" t="s">
        <v>67</v>
      </c>
      <c r="C46" s="31"/>
      <c r="D46" s="31">
        <v>150</v>
      </c>
    </row>
    <row r="47" spans="1:6" x14ac:dyDescent="0.2">
      <c r="B47" s="38" t="s">
        <v>68</v>
      </c>
      <c r="C47" s="38"/>
      <c r="D47" s="39">
        <v>250</v>
      </c>
    </row>
    <row r="48" spans="1:6" x14ac:dyDescent="0.2">
      <c r="B48" s="38" t="s">
        <v>69</v>
      </c>
      <c r="C48" s="38"/>
      <c r="D48" s="39">
        <v>150</v>
      </c>
    </row>
    <row r="49" spans="2:4" x14ac:dyDescent="0.2">
      <c r="B49" s="40" t="s">
        <v>70</v>
      </c>
      <c r="C49" s="40"/>
      <c r="D49" s="41">
        <v>300</v>
      </c>
    </row>
    <row r="50" spans="2:4" x14ac:dyDescent="0.2">
      <c r="B50" s="40" t="s">
        <v>71</v>
      </c>
      <c r="C50" s="40"/>
      <c r="D50" s="41">
        <v>150</v>
      </c>
    </row>
    <row r="51" spans="2:4" x14ac:dyDescent="0.2">
      <c r="B51" s="32" t="s">
        <v>72</v>
      </c>
      <c r="C51" s="32"/>
      <c r="D51" s="33">
        <v>150</v>
      </c>
    </row>
    <row r="52" spans="2:4" x14ac:dyDescent="0.2">
      <c r="B52" s="32" t="s">
        <v>73</v>
      </c>
      <c r="C52" s="32"/>
      <c r="D52" s="33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2026-01-19T06:37:33Z</dcterms:modified>
</cp:coreProperties>
</file>