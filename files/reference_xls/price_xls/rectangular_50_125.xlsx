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14E1E85F-3279-7B42-8B04-B0989CAAA015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4" i="2"/>
  <c r="D2" i="1"/>
  <c r="G2" i="1" s="1"/>
  <c r="C2" i="1"/>
  <c r="I2" i="1" s="1"/>
  <c r="I3" i="1" l="1"/>
  <c r="G3" i="1"/>
  <c r="F3" i="1"/>
  <c r="E3" i="1" s="1"/>
  <c r="F2" i="1"/>
  <c r="E2" i="1" s="1"/>
  <c r="H3" i="1"/>
  <c r="J3" i="1"/>
  <c r="J2" i="1"/>
  <c r="B3" i="1"/>
  <c r="B2" i="1"/>
  <c r="H2" i="1" l="1"/>
  <c r="C4" i="1"/>
  <c r="I4" i="1"/>
  <c r="B4" i="1"/>
  <c r="H4" i="1" l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<sst xmlns="http://schemas.openxmlformats.org/spreadsheetml/2006/main" count="21" uniqueCount="21">
  <si>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</si>
  <si>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</si>
  <si>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</si>
  <si>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</si>
  <si>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</si>
  <si>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</si>
  <si>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</si>
  <si>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50x125 Profile</t>
  </si>
  <si>
    <t>50x125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</si>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</sst>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0" fontId="3" fillId="6" borderId="15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C15" sqref="C15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35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47" t="s">
        <v>16</v>
      </c>
      <c r="I1" s="17" t="s">
        <v>17</v>
      </c>
      <c r="J1" s="18" t="s">
        <v>18</v>
      </c>
    </row>
    <row r="2" spans="1:10" x14ac:dyDescent="0.2">
      <c r="A2" s="36" t="s">
        <v>20</v>
      </c>
      <c r="B2" s="39" t="e">
        <f>C2/10.76391</f>
        <v>#DIV/0!</v>
      </c>
      <c r="C2" s="29" t="e">
        <f>((1000/B7)*1.575)*A7</f>
        <v>#DIV/0!</v>
      </c>
      <c r="D2" s="40">
        <f>+A7*1.575</f>
        <v>1181.25</v>
      </c>
      <c r="E2" s="43" t="e">
        <f>F2/10.76391</f>
        <v>#DIV/0!</v>
      </c>
      <c r="F2" s="30" t="e">
        <f>C2+(((('Per m weight'!C3*0.03937)*39.37)*(1000/B7))*0.4)</f>
        <v>#DIV/0!</v>
      </c>
      <c r="G2" s="44">
        <f>+D2+((('Per m weight'!C3/25.4)*39.3701)*0.4)</f>
        <v>1398.2505511811023</v>
      </c>
      <c r="H2" s="48" t="e">
        <f>I2/10.76391</f>
        <v>#DIV/0!</v>
      </c>
      <c r="I2" s="31" t="e">
        <f>C2+(((('Per m weight'!C3*0.03937)*39.37)*(1000/B7))*0.7)</f>
        <v>#DIV/0!</v>
      </c>
      <c r="J2" s="49" t="e">
        <f>I2/(1000/B7)</f>
        <v>#DIV/0!</v>
      </c>
    </row>
    <row r="3" spans="1:10" ht="17" thickBot="1" x14ac:dyDescent="0.25">
      <c r="A3" s="37" t="s">
        <v>2</v>
      </c>
      <c r="B3" s="41" t="e">
        <f>C3/10.76391</f>
        <v>#DIV/0!</v>
      </c>
      <c r="C3" s="32" t="e">
        <f>((1000/B7)*0.397)*A7</f>
        <v>#DIV/0!</v>
      </c>
      <c r="D3" s="42">
        <f>+A7*0.397</f>
        <v>297.75</v>
      </c>
      <c r="E3" s="45" t="e">
        <f>F3/10.76391</f>
        <v>#DIV/0!</v>
      </c>
      <c r="F3" s="33" t="e">
        <f>C3+(((('Per m weight'!C4*0.03937)*39.37)*(1000/B7))*0.4)</f>
        <v>#DIV/0!</v>
      </c>
      <c r="G3" s="46">
        <f>+D3+((('Per m weight'!C4/25.4)*39.3701)*0.4)</f>
        <v>398.50025590551184</v>
      </c>
      <c r="H3" s="50" t="e">
        <f>I3/10.76391</f>
        <v>#DIV/0!</v>
      </c>
      <c r="I3" s="34" t="e">
        <f>C3+(((('Per m weight'!C4*0.03937)*39.37)*(1000/B7))*0.7)</f>
        <v>#DIV/0!</v>
      </c>
      <c r="J3" s="51" t="e">
        <f>I3/(1000/B7)</f>
        <v>#DIV/0!</v>
      </c>
    </row>
    <row r="4" spans="1:10" s="10" customFormat="1" ht="17" thickBot="1" x14ac:dyDescent="0.25">
      <c r="A4" s="38" t="s">
        <v>13</v>
      </c>
      <c r="B4" s="19" t="e">
        <f>SUM(B2:B3)</f>
        <v>#DIV/0!</v>
      </c>
      <c r="C4" s="20" t="e">
        <f>SUM(C2:C3)</f>
        <v>#DIV/0!</v>
      </c>
      <c r="D4" s="21"/>
      <c r="E4" s="22" t="e">
        <f>SUM(E2:E3)</f>
        <v>#DIV/0!</v>
      </c>
      <c r="F4" s="23" t="e">
        <f>SUM(F2:F3)</f>
        <v>#DIV/0!</v>
      </c>
      <c r="G4" s="24"/>
      <c r="H4" s="52" t="e">
        <f>SUM(H2:H3)</f>
        <v>#DIV/0!</v>
      </c>
      <c r="I4" s="25" t="e">
        <f>SUM(I2:I3)</f>
        <v>#DIV/0!</v>
      </c>
      <c r="J4" s="26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750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Normal="100" workbookViewId="0">
      <selection activeCell="D12" sqref="D12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27" t="s">
        <v>7</v>
      </c>
      <c r="B3" s="27"/>
      <c r="C3" s="28">
        <v>350</v>
      </c>
      <c r="D3">
        <v>300</v>
      </c>
    </row>
    <row r="4" spans="1:4" ht="16" x14ac:dyDescent="0.2">
      <c r="A4" s="27" t="s">
        <v>8</v>
      </c>
      <c r="B4" s="27"/>
      <c r="C4" s="28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2026-02-23T07:10:52Z</dcterms:modified>
</cp:coreProperties>
</file>