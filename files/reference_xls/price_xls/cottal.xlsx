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offer-generator/files/reference_xls/price_xls/"/>
    </mc:Choice>
  </mc:AlternateContent>
  <xr:revisionPtr revIDLastSave="0" documentId="13_ncr:1_{BC4A1B3B-A0CB-CE49-8F3A-AEE918C29535}" xr6:coauthVersionLast="47" xr6:coauthVersionMax="47" xr10:uidLastSave="{00000000-0000-0000-0000-000000000000}"/>
  <bookViews>
    <workbookView xWindow="0" yWindow="660" windowWidth="28800" windowHeight="15940" xr2:uid="{C496E742-E4DE-5F45-8BA5-297BA30B28EC}"/>
  </bookViews>
  <sheets>
    <sheet name="Price" sheetId="1" r:id="rId1"/>
    <sheet name="Per m weig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J2" i="1" s="1"/>
  <c r="C2" i="1"/>
  <c r="I2" i="1" s="1"/>
  <c r="F2" i="1" l="1"/>
  <c r="G2" i="1"/>
  <c r="E3" i="1"/>
  <c r="F3" i="1"/>
  <c r="B2" i="1"/>
  <c r="B3" i="1" s="1"/>
  <c r="C3" i="1"/>
  <c r="I3" i="1" l="1"/>
  <c r="H3" i="1" l="1"/>
  <c r="D34" i="2"/>
  <c r="D33" i="2"/>
  <c r="D26" i="2"/>
  <c r="D25" i="2"/>
  <c r="H20" i="2"/>
  <c r="F20" i="2"/>
  <c r="G20" i="2" s="1"/>
  <c r="L8" i="2"/>
</calcChain>
</file>

<file path=xl/sharedStrings.xml><?xml version="1.0" encoding="utf-8"?>
<sst xmlns="http://schemas.openxmlformats.org/spreadsheetml/2006/main" count="74" uniqueCount="72">
  <si>
    <t>Product</t>
  </si>
  <si>
    <t>Pitch</t>
  </si>
  <si>
    <t>Grille 2550</t>
  </si>
  <si>
    <t>Correct Weight 2020</t>
  </si>
  <si>
    <t>Product Description</t>
  </si>
  <si>
    <t>Weight (kg/m)</t>
  </si>
  <si>
    <t>Perimeter (mm)</t>
  </si>
  <si>
    <t>LOUVERS</t>
  </si>
  <si>
    <t>Grille 2050</t>
  </si>
  <si>
    <r>
      <t>Powder Coating Rate (Rs./in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)</t>
    </r>
  </si>
  <si>
    <r>
      <t>Wood Finish Rate (Rs./in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)</t>
    </r>
  </si>
  <si>
    <t>Grille Carrier</t>
  </si>
  <si>
    <t>Grille Covering</t>
  </si>
  <si>
    <t>S Louvers</t>
  </si>
  <si>
    <t>Single side coating</t>
  </si>
  <si>
    <t>Both side coating</t>
  </si>
  <si>
    <t>S Louvers Carrier</t>
  </si>
  <si>
    <t>Aerofoil AF 63/16</t>
  </si>
  <si>
    <t>Aerofoil AF 100/20</t>
  </si>
  <si>
    <t>Aerofoil AF 120/30</t>
  </si>
  <si>
    <t>Aerofoil AF 150/40</t>
  </si>
  <si>
    <t>Aerofoil AF 200/50</t>
  </si>
  <si>
    <t>Aerofoil AF 200/60</t>
  </si>
  <si>
    <t>Aerofoil AF 250/50</t>
  </si>
  <si>
    <t>Aerofoil AF 400/60</t>
  </si>
  <si>
    <t>Aerofoil Center Piece AF 400/60-C</t>
  </si>
  <si>
    <t>C Profile For Aerofoil</t>
  </si>
  <si>
    <t>Aerofoil Wall Bracket WB (for Aerofoil AF100/20, AF150/40, AF200/50, AF 250/50)</t>
  </si>
  <si>
    <t>Aerofoil Carrier C1 (AF100/20)</t>
  </si>
  <si>
    <t>Aerofoil Carrier C2 (AF150/40, AF200/50, AF 250/50)</t>
  </si>
  <si>
    <t>Half Aerofoil HAF80</t>
  </si>
  <si>
    <t>Half Aerofoil HAF120</t>
  </si>
  <si>
    <t>Half Aerofoil Carrier HAF-C1 (option 1)</t>
  </si>
  <si>
    <t>Half Aerofoil Carrier HAF-C2 (option 2)</t>
  </si>
  <si>
    <t>C Louvers CL113</t>
  </si>
  <si>
    <t>C Louvers Carrier CL113-C</t>
  </si>
  <si>
    <t>C Louvers Carrier Covering CL113-CC</t>
  </si>
  <si>
    <t>C Louvers CL230</t>
  </si>
  <si>
    <t>C Louvers Carrier CL230-C</t>
  </si>
  <si>
    <t>C Louvers Carrier Covering CL230-CC</t>
  </si>
  <si>
    <t>Rectangular Profile RP 50/124</t>
  </si>
  <si>
    <t>Rectangular Carrier</t>
  </si>
  <si>
    <t>Cottal 130</t>
  </si>
  <si>
    <t xml:space="preserve">Fluted </t>
  </si>
  <si>
    <t>50x50 Profile</t>
  </si>
  <si>
    <t>50x50 Carrier</t>
  </si>
  <si>
    <t>25x50 Profile</t>
  </si>
  <si>
    <t>25x50 carrier</t>
  </si>
  <si>
    <t>25x75 Profile</t>
  </si>
  <si>
    <t>25x75 Carrier</t>
  </si>
  <si>
    <t>25x100 Profile</t>
  </si>
  <si>
    <t>25x100 Carrier</t>
  </si>
  <si>
    <t>50x75 Profile</t>
  </si>
  <si>
    <t>50x75 Carrier</t>
  </si>
  <si>
    <t>50x100 Profile</t>
  </si>
  <si>
    <t>50x100 Carrier</t>
  </si>
  <si>
    <t>50x125 Profile</t>
  </si>
  <si>
    <t>50x125 Carrier</t>
  </si>
  <si>
    <t>30x60 Profile</t>
  </si>
  <si>
    <t>30x60 Carrier</t>
  </si>
  <si>
    <t>Conversion Rate</t>
  </si>
  <si>
    <t>Profile</t>
  </si>
  <si>
    <t>Total Rate (₹)</t>
  </si>
  <si>
    <t>Mill Finish (₹/ft2)</t>
  </si>
  <si>
    <t>Mill Finish (₹/m2)</t>
  </si>
  <si>
    <t>Mill Finish (₹/m)</t>
  </si>
  <si>
    <t>Powder Coating (₹/ft2)</t>
  </si>
  <si>
    <t>PVDF (₹/ft2)</t>
  </si>
  <si>
    <t>Powder Coating (₹/m2)</t>
  </si>
  <si>
    <t>PVDF (₹/m2)</t>
  </si>
  <si>
    <t>Powder Coating (₹/m)</t>
  </si>
  <si>
    <t>PVDF (₹/m)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</si>
</sst>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2" fillId="0" borderId="0"/>
  </cellStyleXfs>
  <cellXfs count="70">
    <xf numFmtId="0" fontId="0" fillId="0" borderId="0" xfId="0"/>
    <xf numFmtId="0" fontId="2" fillId="0" borderId="0" xfId="1"/>
    <xf numFmtId="0" fontId="1" fillId="0" borderId="1" xfId="1" applyFont="1" applyBorder="1" applyAlignment="1">
      <alignment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2" fillId="0" borderId="5" xfId="1" applyBorder="1"/>
    <xf numFmtId="164" fontId="2" fillId="0" borderId="6" xfId="1" applyNumberFormat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8" xfId="1" applyBorder="1"/>
    <xf numFmtId="164" fontId="2" fillId="0" borderId="9" xfId="1" applyNumberFormat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2" borderId="8" xfId="1" applyFill="1" applyBorder="1"/>
    <xf numFmtId="0" fontId="2" fillId="0" borderId="8" xfId="1" applyBorder="1" applyAlignment="1">
      <alignment vertical="top" wrapText="1"/>
    </xf>
    <xf numFmtId="0" fontId="2" fillId="0" borderId="4" xfId="1" applyBorder="1"/>
    <xf numFmtId="2" fontId="2" fillId="0" borderId="9" xfId="1" applyNumberFormat="1" applyBorder="1" applyAlignment="1">
      <alignment horizontal="center" vertical="center"/>
    </xf>
    <xf numFmtId="2" fontId="2" fillId="0" borderId="10" xfId="1" applyNumberFormat="1" applyBorder="1" applyAlignment="1">
      <alignment horizontal="center" vertical="center"/>
    </xf>
    <xf numFmtId="0" fontId="2" fillId="0" borderId="0" xfId="1" applyAlignment="1">
      <alignment horizontal="center" vertical="center"/>
    </xf>
    <xf numFmtId="2" fontId="2" fillId="0" borderId="0" xfId="1" applyNumberFormat="1" applyAlignment="1">
      <alignment horizontal="center" vertical="center"/>
    </xf>
    <xf numFmtId="0" fontId="2" fillId="0" borderId="11" xfId="1" applyBorder="1"/>
    <xf numFmtId="164" fontId="2" fillId="0" borderId="12" xfId="1" applyNumberFormat="1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0" fontId="2" fillId="3" borderId="9" xfId="1" applyFill="1" applyBorder="1"/>
    <xf numFmtId="0" fontId="2" fillId="3" borderId="9" xfId="1" applyFill="1" applyBorder="1" applyAlignment="1">
      <alignment horizontal="center" vertical="center"/>
    </xf>
    <xf numFmtId="0" fontId="2" fillId="4" borderId="9" xfId="1" applyFill="1" applyBorder="1"/>
    <xf numFmtId="0" fontId="2" fillId="4" borderId="9" xfId="1" applyFill="1" applyBorder="1" applyAlignment="1">
      <alignment horizontal="center" vertical="center"/>
    </xf>
    <xf numFmtId="0" fontId="2" fillId="5" borderId="9" xfId="1" applyFill="1" applyBorder="1"/>
    <xf numFmtId="0" fontId="2" fillId="5" borderId="9" xfId="1" applyFill="1" applyBorder="1" applyAlignment="1">
      <alignment horizontal="center" vertical="center"/>
    </xf>
    <xf numFmtId="0" fontId="2" fillId="6" borderId="9" xfId="1" applyFill="1" applyBorder="1"/>
    <xf numFmtId="0" fontId="2" fillId="6" borderId="9" xfId="1" applyFill="1" applyBorder="1" applyAlignment="1">
      <alignment horizontal="center" vertical="center"/>
    </xf>
    <xf numFmtId="0" fontId="2" fillId="0" borderId="9" xfId="1" applyBorder="1"/>
    <xf numFmtId="0" fontId="2" fillId="4" borderId="9" xfId="1" applyFill="1" applyBorder="1" applyAlignment="1">
      <alignment horizontal="left" vertical="center"/>
    </xf>
    <xf numFmtId="0" fontId="2" fillId="7" borderId="9" xfId="1" applyFill="1" applyBorder="1"/>
    <xf numFmtId="0" fontId="2" fillId="7" borderId="9" xfId="1" applyFill="1" applyBorder="1" applyAlignment="1">
      <alignment horizontal="center" vertical="center"/>
    </xf>
    <xf numFmtId="0" fontId="2" fillId="2" borderId="9" xfId="1" applyFill="1" applyBorder="1"/>
    <xf numFmtId="0" fontId="2" fillId="2" borderId="9" xfId="1" applyFill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1" fontId="1" fillId="8" borderId="19" xfId="0" applyNumberFormat="1" applyFont="1" applyFill="1" applyBorder="1" applyAlignment="1">
      <alignment horizontal="center" vertical="center"/>
    </xf>
    <xf numFmtId="1" fontId="1" fillId="8" borderId="20" xfId="0" applyNumberFormat="1" applyFont="1" applyFill="1" applyBorder="1" applyAlignment="1">
      <alignment horizontal="center" vertical="center"/>
    </xf>
    <xf numFmtId="1" fontId="1" fillId="8" borderId="21" xfId="0" applyNumberFormat="1" applyFont="1" applyFill="1" applyBorder="1" applyAlignment="1">
      <alignment horizontal="center" vertical="center"/>
    </xf>
    <xf numFmtId="1" fontId="1" fillId="9" borderId="20" xfId="0" applyNumberFormat="1" applyFont="1" applyFill="1" applyBorder="1" applyAlignment="1">
      <alignment horizontal="center" vertical="center"/>
    </xf>
    <xf numFmtId="1" fontId="1" fillId="10" borderId="19" xfId="0" applyNumberFormat="1" applyFont="1" applyFill="1" applyBorder="1" applyAlignment="1">
      <alignment horizontal="center" vertical="center"/>
    </xf>
    <xf numFmtId="1" fontId="1" fillId="10" borderId="20" xfId="0" applyNumberFormat="1" applyFont="1" applyFill="1" applyBorder="1" applyAlignment="1">
      <alignment horizontal="center" vertical="center"/>
    </xf>
    <xf numFmtId="1" fontId="1" fillId="10" borderId="21" xfId="0" applyNumberFormat="1" applyFont="1" applyFill="1" applyBorder="1" applyAlignment="1">
      <alignment horizontal="center" vertical="center"/>
    </xf>
    <xf numFmtId="1" fontId="1" fillId="9" borderId="19" xfId="0" applyNumberFormat="1" applyFont="1" applyFill="1" applyBorder="1" applyAlignment="1">
      <alignment horizontal="center" vertical="center"/>
    </xf>
    <xf numFmtId="1" fontId="1" fillId="9" borderId="21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" fontId="0" fillId="8" borderId="23" xfId="0" applyNumberFormat="1" applyFill="1" applyBorder="1" applyAlignment="1">
      <alignment horizontal="center" vertical="center"/>
    </xf>
    <xf numFmtId="1" fontId="0" fillId="8" borderId="24" xfId="0" applyNumberFormat="1" applyFill="1" applyBorder="1" applyAlignment="1">
      <alignment horizontal="center" vertical="center"/>
    </xf>
    <xf numFmtId="1" fontId="0" fillId="8" borderId="25" xfId="0" applyNumberFormat="1" applyFill="1" applyBorder="1" applyAlignment="1">
      <alignment horizontal="center" vertical="center"/>
    </xf>
    <xf numFmtId="1" fontId="0" fillId="9" borderId="23" xfId="0" applyNumberFormat="1" applyFill="1" applyBorder="1" applyAlignment="1">
      <alignment horizontal="center" vertical="center"/>
    </xf>
    <xf numFmtId="1" fontId="0" fillId="9" borderId="24" xfId="0" applyNumberFormat="1" applyFill="1" applyBorder="1" applyAlignment="1">
      <alignment horizontal="center" vertical="center"/>
    </xf>
    <xf numFmtId="1" fontId="0" fillId="9" borderId="25" xfId="0" applyNumberFormat="1" applyFill="1" applyBorder="1" applyAlignment="1">
      <alignment horizontal="center" vertical="center"/>
    </xf>
    <xf numFmtId="1" fontId="0" fillId="10" borderId="23" xfId="0" applyNumberFormat="1" applyFill="1" applyBorder="1" applyAlignment="1">
      <alignment horizontal="center" vertical="center"/>
    </xf>
    <xf numFmtId="1" fontId="0" fillId="10" borderId="24" xfId="0" applyNumberFormat="1" applyFill="1" applyBorder="1" applyAlignment="1">
      <alignment horizontal="center" vertical="center"/>
    </xf>
    <xf numFmtId="1" fontId="0" fillId="10" borderId="25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2" fillId="0" borderId="0" xfId="1" applyAlignment="1">
      <alignment horizontal="center"/>
    </xf>
    <xf numFmtId="0" fontId="1" fillId="0" borderId="4" xfId="1" applyFont="1" applyBorder="1" applyAlignment="1">
      <alignment horizontal="left" vertical="center" textRotation="90"/>
    </xf>
    <xf numFmtId="0" fontId="2" fillId="0" borderId="8" xfId="1" applyBorder="1" applyAlignment="1">
      <alignment horizontal="left" vertical="center"/>
    </xf>
    <xf numFmtId="164" fontId="2" fillId="0" borderId="9" xfId="1" applyNumberFormat="1" applyBorder="1" applyAlignment="1">
      <alignment horizontal="center" vertical="center"/>
    </xf>
  </cellXfs>
  <cellStyles count="2">
    <cellStyle name="Normal" xfId="0" builtinId="0"/>
    <cellStyle name="Normal 2" xfId="1" xr:uid="{AED680E4-B004-ED42-A6AC-9195F95E3C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3CE9-11CC-C84C-8787-681C8F2E3145}">
  <dimension ref="A1:J6"/>
  <sheetViews>
    <sheetView tabSelected="1" zoomScale="136" workbookViewId="0">
      <selection activeCell="G16" sqref="G16"/>
    </sheetView>
  </sheetViews>
  <sheetFormatPr baseColWidth="10" defaultRowHeight="16" x14ac:dyDescent="0.2"/>
  <cols>
    <col min="1" max="1" width="13.83203125" style="37" bestFit="1" customWidth="1"/>
    <col min="2" max="2" width="14" style="37" bestFit="1" customWidth="1"/>
    <col min="3" max="3" width="14.33203125" style="37" bestFit="1" customWidth="1"/>
    <col min="4" max="4" width="13.33203125" style="37" bestFit="1" customWidth="1"/>
    <col min="5" max="5" width="18.33203125" style="37" bestFit="1" customWidth="1"/>
    <col min="6" max="6" width="18.6640625" style="37" bestFit="1" customWidth="1"/>
    <col min="7" max="7" width="17.83203125" style="37" bestFit="1" customWidth="1"/>
    <col min="8" max="8" width="10.33203125" style="37" bestFit="1" customWidth="1"/>
    <col min="9" max="9" width="10.6640625" style="37" bestFit="1" customWidth="1"/>
    <col min="10" max="10" width="9.6640625" style="37" bestFit="1" customWidth="1"/>
    <col min="11" max="16384" width="10.83203125" style="37"/>
  </cols>
  <sheetData>
    <row r="1" spans="1:10" ht="17" thickBot="1" x14ac:dyDescent="0.25">
      <c r="A1" s="51" t="s">
        <v>0</v>
      </c>
      <c r="B1" s="61" t="s">
        <v>63</v>
      </c>
      <c r="C1" s="62" t="s">
        <v>64</v>
      </c>
      <c r="D1" s="62" t="s">
        <v>65</v>
      </c>
      <c r="E1" s="63" t="s">
        <v>66</v>
      </c>
      <c r="F1" s="63" t="s">
        <v>68</v>
      </c>
      <c r="G1" s="63" t="s">
        <v>70</v>
      </c>
      <c r="H1" s="64" t="s">
        <v>67</v>
      </c>
      <c r="I1" s="64" t="s">
        <v>69</v>
      </c>
      <c r="J1" s="65" t="s">
        <v>71</v>
      </c>
    </row>
    <row r="2" spans="1:10" ht="17" thickBot="1" x14ac:dyDescent="0.25">
      <c r="A2" s="41" t="s">
        <v>61</v>
      </c>
      <c r="B2" s="52">
        <f>CEILING((C2/10.7639104),10)</f>
        <v>510</v>
      </c>
      <c r="C2" s="53">
        <f>((1000/B6)*'Per m weight'!C35)*A6</f>
        <v>5444.4444444444443</v>
      </c>
      <c r="D2" s="54">
        <f>+A6*'Per m weight'!C35</f>
        <v>735</v>
      </c>
      <c r="E2" s="55">
        <v>810</v>
      </c>
      <c r="F2" s="56">
        <f>C2+(((('Per m weight'!D35/25.4)*39.37)*(1000/B6))*0.25*1.4)</f>
        <v>6248.1481481481478</v>
      </c>
      <c r="G2" s="57">
        <f>+D2+((('Per m weight'!D35/25.4)*39.3701)*0.25)</f>
        <v>812.50019685039365</v>
      </c>
      <c r="H2" s="58">
        <v>890</v>
      </c>
      <c r="I2" s="59">
        <f>C2+(((('Per m weight'!D35/25.4)*39.37)*(1000/B6))*0.45*1.4)</f>
        <v>6891.1111111111113</v>
      </c>
      <c r="J2" s="60">
        <f>+D2+((('Per m weight'!D35/25.4)*39.3701)*0.6)</f>
        <v>921.00047244094492</v>
      </c>
    </row>
    <row r="3" spans="1:10" ht="17" thickBot="1" x14ac:dyDescent="0.25">
      <c r="A3" s="40" t="s">
        <v>62</v>
      </c>
      <c r="B3" s="42">
        <f>SUM(B2:B2)</f>
        <v>510</v>
      </c>
      <c r="C3" s="43">
        <f>SUM(C2:C2)</f>
        <v>5444.4444444444443</v>
      </c>
      <c r="D3" s="44"/>
      <c r="E3" s="49">
        <f>SUM(E2:E2)</f>
        <v>810</v>
      </c>
      <c r="F3" s="45">
        <f>SUM(F2:F2)</f>
        <v>6248.1481481481478</v>
      </c>
      <c r="G3" s="50"/>
      <c r="H3" s="46">
        <f>SUM(H2:H2)</f>
        <v>890</v>
      </c>
      <c r="I3" s="47">
        <f>SUM(I2:I2)</f>
        <v>6891.1111111111113</v>
      </c>
      <c r="J3" s="48"/>
    </row>
    <row r="4" spans="1:10" ht="17" thickBot="1" x14ac:dyDescent="0.25"/>
    <row r="5" spans="1:10" x14ac:dyDescent="0.2">
      <c r="A5" s="35" t="s">
        <v>60</v>
      </c>
      <c r="B5" s="36" t="s">
        <v>1</v>
      </c>
    </row>
    <row r="6" spans="1:10" ht="17" thickBot="1" x14ac:dyDescent="0.25">
      <c r="A6" s="38">
        <v>750</v>
      </c>
      <c r="B6" s="39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88C-AA95-5D45-B9C6-156005816805}">
  <dimension ref="A1:L52"/>
  <sheetViews>
    <sheetView zoomScaleNormal="100" workbookViewId="0">
      <selection activeCell="B35" sqref="B35:D35"/>
    </sheetView>
  </sheetViews>
  <sheetFormatPr baseColWidth="10" defaultColWidth="8.6640625" defaultRowHeight="15" x14ac:dyDescent="0.2"/>
  <cols>
    <col min="1" max="1" width="3.6640625" style="29" bestFit="1" customWidth="1"/>
    <col min="2" max="2" width="47.33203125" style="1" bestFit="1" customWidth="1"/>
    <col min="3" max="3" width="7.5" style="1" bestFit="1" customWidth="1"/>
    <col min="4" max="4" width="10" style="1" bestFit="1" customWidth="1"/>
    <col min="5" max="5" width="17.6640625" style="1" bestFit="1" customWidth="1"/>
    <col min="6" max="7" width="13.6640625" style="1" customWidth="1"/>
    <col min="8" max="16384" width="8.6640625" style="1"/>
  </cols>
  <sheetData>
    <row r="1" spans="1:12" ht="16" thickBot="1" x14ac:dyDescent="0.25">
      <c r="A1" s="66" t="s">
        <v>3</v>
      </c>
      <c r="B1" s="66"/>
      <c r="C1" s="66"/>
      <c r="D1" s="66"/>
    </row>
    <row r="2" spans="1:12" ht="32" customHeight="1" thickBot="1" x14ac:dyDescent="0.25">
      <c r="A2" s="1"/>
      <c r="B2" s="2" t="s">
        <v>4</v>
      </c>
      <c r="C2" s="3" t="s">
        <v>5</v>
      </c>
      <c r="D2" s="4" t="s">
        <v>6</v>
      </c>
    </row>
    <row r="3" spans="1:12" ht="17" x14ac:dyDescent="0.2">
      <c r="A3" s="67" t="s">
        <v>7</v>
      </c>
      <c r="B3" s="5" t="s">
        <v>8</v>
      </c>
      <c r="C3" s="6">
        <v>0.373</v>
      </c>
      <c r="D3" s="7">
        <v>130</v>
      </c>
      <c r="F3" s="66" t="s">
        <v>9</v>
      </c>
      <c r="G3" s="66"/>
      <c r="H3" s="1">
        <v>0.25</v>
      </c>
    </row>
    <row r="4" spans="1:12" ht="17" x14ac:dyDescent="0.2">
      <c r="A4" s="67"/>
      <c r="B4" s="8" t="s">
        <v>2</v>
      </c>
      <c r="C4" s="9">
        <v>0.40600000000000003</v>
      </c>
      <c r="D4" s="10">
        <v>140</v>
      </c>
      <c r="F4" s="66" t="s">
        <v>10</v>
      </c>
      <c r="G4" s="66"/>
      <c r="H4" s="1">
        <v>0.6</v>
      </c>
    </row>
    <row r="5" spans="1:12" x14ac:dyDescent="0.2">
      <c r="A5" s="67"/>
      <c r="B5" s="8" t="s">
        <v>11</v>
      </c>
      <c r="C5" s="9">
        <v>0.313</v>
      </c>
      <c r="D5" s="10">
        <v>115</v>
      </c>
    </row>
    <row r="6" spans="1:12" x14ac:dyDescent="0.2">
      <c r="A6" s="67"/>
      <c r="B6" s="8" t="s">
        <v>12</v>
      </c>
      <c r="C6" s="9">
        <v>0.113</v>
      </c>
      <c r="D6" s="10">
        <v>40</v>
      </c>
    </row>
    <row r="7" spans="1:12" x14ac:dyDescent="0.2">
      <c r="A7" s="67"/>
      <c r="B7" s="68" t="s">
        <v>13</v>
      </c>
      <c r="C7" s="69">
        <v>0.432</v>
      </c>
      <c r="D7" s="10">
        <v>120</v>
      </c>
      <c r="E7" s="1" t="s">
        <v>14</v>
      </c>
    </row>
    <row r="8" spans="1:12" x14ac:dyDescent="0.2">
      <c r="A8" s="67"/>
      <c r="B8" s="68"/>
      <c r="C8" s="69"/>
      <c r="D8" s="10">
        <v>160</v>
      </c>
      <c r="E8" s="1" t="s">
        <v>15</v>
      </c>
      <c r="L8" s="1" t="e">
        <f>+F8+((('Per m weight'!D10/25.4)*39.37008)*'Per m weight'!#REF!)</f>
        <v>#REF!</v>
      </c>
    </row>
    <row r="9" spans="1:12" x14ac:dyDescent="0.2">
      <c r="A9" s="67"/>
      <c r="B9" s="8" t="s">
        <v>16</v>
      </c>
      <c r="C9" s="9">
        <v>1.3</v>
      </c>
      <c r="D9" s="10">
        <v>410</v>
      </c>
    </row>
    <row r="10" spans="1:12" x14ac:dyDescent="0.2">
      <c r="A10" s="67"/>
      <c r="B10" s="8" t="s">
        <v>17</v>
      </c>
      <c r="C10" s="9">
        <v>0.55700000000000005</v>
      </c>
      <c r="D10" s="10">
        <v>136</v>
      </c>
    </row>
    <row r="11" spans="1:12" x14ac:dyDescent="0.2">
      <c r="A11" s="67"/>
      <c r="B11" s="11" t="s">
        <v>18</v>
      </c>
      <c r="C11" s="9">
        <v>1.0820000000000001</v>
      </c>
      <c r="D11" s="10">
        <v>206</v>
      </c>
    </row>
    <row r="12" spans="1:12" x14ac:dyDescent="0.2">
      <c r="A12" s="67"/>
      <c r="B12" s="8" t="s">
        <v>19</v>
      </c>
      <c r="C12" s="9">
        <v>1.3260000000000001</v>
      </c>
      <c r="D12" s="10">
        <v>251</v>
      </c>
    </row>
    <row r="13" spans="1:12" x14ac:dyDescent="0.2">
      <c r="A13" s="67"/>
      <c r="B13" s="11" t="s">
        <v>20</v>
      </c>
      <c r="C13" s="9">
        <v>1.6160000000000001</v>
      </c>
      <c r="D13" s="10">
        <v>315</v>
      </c>
    </row>
    <row r="14" spans="1:12" x14ac:dyDescent="0.2">
      <c r="A14" s="67"/>
      <c r="B14" s="11" t="s">
        <v>21</v>
      </c>
      <c r="C14" s="9">
        <v>2.8</v>
      </c>
      <c r="D14" s="10">
        <v>418</v>
      </c>
    </row>
    <row r="15" spans="1:12" x14ac:dyDescent="0.2">
      <c r="A15" s="67"/>
      <c r="B15" s="8" t="s">
        <v>22</v>
      </c>
      <c r="C15" s="9">
        <v>2.8210000000000002</v>
      </c>
      <c r="D15" s="10">
        <v>425</v>
      </c>
    </row>
    <row r="16" spans="1:12" x14ac:dyDescent="0.2">
      <c r="A16" s="67"/>
      <c r="B16" s="11" t="s">
        <v>23</v>
      </c>
      <c r="C16" s="9">
        <v>2.9039999999999999</v>
      </c>
      <c r="D16" s="10">
        <v>520</v>
      </c>
    </row>
    <row r="17" spans="1:8" x14ac:dyDescent="0.2">
      <c r="A17" s="67"/>
      <c r="B17" s="8" t="s">
        <v>24</v>
      </c>
      <c r="C17" s="9">
        <v>1.7869999999999999</v>
      </c>
      <c r="D17" s="10">
        <v>323</v>
      </c>
    </row>
    <row r="18" spans="1:8" x14ac:dyDescent="0.2">
      <c r="A18" s="67"/>
      <c r="B18" s="8" t="s">
        <v>25</v>
      </c>
      <c r="C18" s="9">
        <v>1.6459999999999999</v>
      </c>
      <c r="D18" s="10">
        <v>183</v>
      </c>
    </row>
    <row r="19" spans="1:8" x14ac:dyDescent="0.2">
      <c r="A19" s="67"/>
      <c r="B19" s="8" t="s">
        <v>26</v>
      </c>
      <c r="C19" s="9">
        <v>1</v>
      </c>
      <c r="D19" s="10">
        <v>132</v>
      </c>
    </row>
    <row r="20" spans="1:8" ht="32" x14ac:dyDescent="0.2">
      <c r="A20" s="67"/>
      <c r="B20" s="12" t="s">
        <v>27</v>
      </c>
      <c r="C20" s="9">
        <v>1.0840000000000001</v>
      </c>
      <c r="D20" s="10">
        <v>260</v>
      </c>
      <c r="F20" s="1">
        <f>+C20/1000</f>
        <v>1.0840000000000001E-3</v>
      </c>
      <c r="G20" s="1">
        <f>+F20*150</f>
        <v>0.16260000000000002</v>
      </c>
      <c r="H20" s="1">
        <f>+D20*0.15</f>
        <v>39</v>
      </c>
    </row>
    <row r="21" spans="1:8" x14ac:dyDescent="0.2">
      <c r="A21" s="67"/>
      <c r="B21" s="8" t="s">
        <v>28</v>
      </c>
      <c r="C21" s="9">
        <v>0.99399999999999999</v>
      </c>
      <c r="D21" s="10">
        <v>118</v>
      </c>
    </row>
    <row r="22" spans="1:8" x14ac:dyDescent="0.2">
      <c r="A22" s="67"/>
      <c r="B22" s="8" t="s">
        <v>29</v>
      </c>
      <c r="C22" s="9">
        <v>1.365</v>
      </c>
      <c r="D22" s="10">
        <v>166</v>
      </c>
    </row>
    <row r="23" spans="1:8" x14ac:dyDescent="0.2">
      <c r="A23" s="67"/>
      <c r="B23" s="8" t="s">
        <v>30</v>
      </c>
      <c r="C23" s="9">
        <v>1</v>
      </c>
      <c r="D23" s="10">
        <v>177.5</v>
      </c>
    </row>
    <row r="24" spans="1:8" x14ac:dyDescent="0.2">
      <c r="A24" s="67"/>
      <c r="B24" s="8" t="s">
        <v>31</v>
      </c>
      <c r="C24" s="9">
        <v>1.3420000000000001</v>
      </c>
      <c r="D24" s="10">
        <v>251.5</v>
      </c>
    </row>
    <row r="25" spans="1:8" x14ac:dyDescent="0.2">
      <c r="A25" s="67"/>
      <c r="B25" s="8" t="s">
        <v>32</v>
      </c>
      <c r="C25" s="9">
        <v>0.35799999999999998</v>
      </c>
      <c r="D25" s="10">
        <f>4*25.4</f>
        <v>101.6</v>
      </c>
    </row>
    <row r="26" spans="1:8" x14ac:dyDescent="0.2">
      <c r="A26" s="67"/>
      <c r="B26" s="8" t="s">
        <v>33</v>
      </c>
      <c r="C26" s="9">
        <v>0.438</v>
      </c>
      <c r="D26" s="10">
        <f>4*25.4</f>
        <v>101.6</v>
      </c>
    </row>
    <row r="27" spans="1:8" x14ac:dyDescent="0.2">
      <c r="A27" s="67"/>
      <c r="B27" s="8" t="s">
        <v>34</v>
      </c>
      <c r="C27" s="9">
        <v>0.62</v>
      </c>
      <c r="D27" s="10">
        <v>265</v>
      </c>
    </row>
    <row r="28" spans="1:8" x14ac:dyDescent="0.2">
      <c r="A28" s="67"/>
      <c r="B28" s="8" t="s">
        <v>35</v>
      </c>
      <c r="C28" s="9">
        <v>2.544</v>
      </c>
      <c r="D28" s="10">
        <v>436</v>
      </c>
    </row>
    <row r="29" spans="1:8" x14ac:dyDescent="0.2">
      <c r="A29" s="67"/>
      <c r="B29" s="8" t="s">
        <v>36</v>
      </c>
      <c r="C29" s="9">
        <v>0.36899999999999999</v>
      </c>
      <c r="D29" s="10">
        <v>40</v>
      </c>
    </row>
    <row r="30" spans="1:8" x14ac:dyDescent="0.2">
      <c r="A30" s="67"/>
      <c r="B30" s="8" t="s">
        <v>37</v>
      </c>
      <c r="C30" s="9">
        <v>1.9219999999999999</v>
      </c>
      <c r="D30" s="10">
        <v>525</v>
      </c>
    </row>
    <row r="31" spans="1:8" x14ac:dyDescent="0.2">
      <c r="A31" s="67"/>
      <c r="B31" s="8" t="s">
        <v>38</v>
      </c>
      <c r="C31" s="9">
        <v>5.593</v>
      </c>
      <c r="D31" s="10">
        <v>580</v>
      </c>
    </row>
    <row r="32" spans="1:8" x14ac:dyDescent="0.2">
      <c r="A32" s="67"/>
      <c r="B32" s="8" t="s">
        <v>39</v>
      </c>
      <c r="C32" s="9">
        <v>0.28299999999999997</v>
      </c>
      <c r="D32" s="10">
        <v>36.5</v>
      </c>
    </row>
    <row r="33" spans="1:6" x14ac:dyDescent="0.2">
      <c r="A33" s="67"/>
      <c r="B33" s="8" t="s">
        <v>40</v>
      </c>
      <c r="C33" s="9">
        <v>1.444</v>
      </c>
      <c r="D33" s="10">
        <f>14*25.4</f>
        <v>355.59999999999997</v>
      </c>
    </row>
    <row r="34" spans="1:6" x14ac:dyDescent="0.2">
      <c r="A34" s="67"/>
      <c r="B34" s="8" t="s">
        <v>41</v>
      </c>
      <c r="C34" s="9">
        <v>0.76100000000000001</v>
      </c>
      <c r="D34" s="10">
        <f>5*25.4</f>
        <v>127</v>
      </c>
    </row>
    <row r="35" spans="1:6" x14ac:dyDescent="0.2">
      <c r="A35" s="13"/>
      <c r="B35" s="8" t="s">
        <v>42</v>
      </c>
      <c r="C35" s="14">
        <v>0.98</v>
      </c>
      <c r="D35" s="15">
        <v>200</v>
      </c>
      <c r="E35" s="16" t="s">
        <v>14</v>
      </c>
      <c r="F35" s="17"/>
    </row>
    <row r="36" spans="1:6" x14ac:dyDescent="0.2">
      <c r="A36" s="13"/>
      <c r="B36" s="18" t="s">
        <v>43</v>
      </c>
      <c r="C36" s="19">
        <v>1.3</v>
      </c>
      <c r="D36" s="20">
        <v>275</v>
      </c>
      <c r="E36" s="1" t="s">
        <v>14</v>
      </c>
    </row>
    <row r="37" spans="1:6" x14ac:dyDescent="0.2">
      <c r="A37" s="13"/>
      <c r="B37" s="21" t="s">
        <v>44</v>
      </c>
      <c r="C37" s="21"/>
      <c r="D37" s="22">
        <v>150</v>
      </c>
    </row>
    <row r="38" spans="1:6" x14ac:dyDescent="0.2">
      <c r="A38" s="13"/>
      <c r="B38" s="21" t="s">
        <v>45</v>
      </c>
      <c r="C38" s="21"/>
      <c r="D38" s="22">
        <v>150</v>
      </c>
    </row>
    <row r="39" spans="1:6" x14ac:dyDescent="0.2">
      <c r="A39" s="13"/>
      <c r="B39" s="23" t="s">
        <v>46</v>
      </c>
      <c r="C39" s="23"/>
      <c r="D39" s="24">
        <v>125</v>
      </c>
    </row>
    <row r="40" spans="1:6" x14ac:dyDescent="0.2">
      <c r="A40" s="13"/>
      <c r="B40" s="23" t="s">
        <v>47</v>
      </c>
      <c r="C40" s="23"/>
      <c r="D40" s="24">
        <v>125</v>
      </c>
    </row>
    <row r="41" spans="1:6" x14ac:dyDescent="0.2">
      <c r="A41" s="13"/>
      <c r="B41" s="25" t="s">
        <v>48</v>
      </c>
      <c r="C41" s="25"/>
      <c r="D41" s="26">
        <v>175</v>
      </c>
    </row>
    <row r="42" spans="1:6" x14ac:dyDescent="0.2">
      <c r="A42" s="13"/>
      <c r="B42" s="25" t="s">
        <v>49</v>
      </c>
      <c r="C42" s="25"/>
      <c r="D42" s="26">
        <v>125</v>
      </c>
    </row>
    <row r="43" spans="1:6" x14ac:dyDescent="0.2">
      <c r="A43" s="13"/>
      <c r="B43" s="27" t="s">
        <v>50</v>
      </c>
      <c r="C43" s="27"/>
      <c r="D43" s="28">
        <v>225</v>
      </c>
    </row>
    <row r="44" spans="1:6" x14ac:dyDescent="0.2">
      <c r="A44" s="13"/>
      <c r="B44" s="27" t="s">
        <v>51</v>
      </c>
      <c r="C44" s="27"/>
      <c r="D44" s="28">
        <v>125</v>
      </c>
    </row>
    <row r="45" spans="1:6" x14ac:dyDescent="0.2">
      <c r="B45" s="30" t="s">
        <v>52</v>
      </c>
      <c r="C45" s="24"/>
      <c r="D45" s="24">
        <v>200</v>
      </c>
    </row>
    <row r="46" spans="1:6" x14ac:dyDescent="0.2">
      <c r="B46" s="30" t="s">
        <v>53</v>
      </c>
      <c r="C46" s="24"/>
      <c r="D46" s="24">
        <v>150</v>
      </c>
    </row>
    <row r="47" spans="1:6" x14ac:dyDescent="0.2">
      <c r="B47" s="31" t="s">
        <v>54</v>
      </c>
      <c r="C47" s="31"/>
      <c r="D47" s="32">
        <v>250</v>
      </c>
    </row>
    <row r="48" spans="1:6" x14ac:dyDescent="0.2">
      <c r="B48" s="31" t="s">
        <v>55</v>
      </c>
      <c r="C48" s="31"/>
      <c r="D48" s="32">
        <v>150</v>
      </c>
    </row>
    <row r="49" spans="2:4" x14ac:dyDescent="0.2">
      <c r="B49" s="33" t="s">
        <v>56</v>
      </c>
      <c r="C49" s="33"/>
      <c r="D49" s="34">
        <v>300</v>
      </c>
    </row>
    <row r="50" spans="2:4" x14ac:dyDescent="0.2">
      <c r="B50" s="33" t="s">
        <v>57</v>
      </c>
      <c r="C50" s="33"/>
      <c r="D50" s="34">
        <v>150</v>
      </c>
    </row>
    <row r="51" spans="2:4" x14ac:dyDescent="0.2">
      <c r="B51" s="25" t="s">
        <v>58</v>
      </c>
      <c r="C51" s="25"/>
      <c r="D51" s="26">
        <v>150</v>
      </c>
    </row>
    <row r="52" spans="2:4" x14ac:dyDescent="0.2">
      <c r="B52" s="25" t="s">
        <v>59</v>
      </c>
      <c r="C52" s="25"/>
      <c r="D52" s="26">
        <v>50</v>
      </c>
    </row>
  </sheetData>
  <mergeCells count="6">
    <mergeCell ref="A1:D1"/>
    <mergeCell ref="A3:A34"/>
    <mergeCell ref="F3:G3"/>
    <mergeCell ref="F4:G4"/>
    <mergeCell ref="B7:B8"/>
    <mergeCell ref="C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</vt:lpstr>
      <vt:lpstr>Per m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2024-06-26T06:50:13Z</dcterms:created>
  <dcterms:modified xsi:type="dcterms:W3CDTF">2026-01-30T10:57:04Z</dcterms:modified>
</cp:coreProperties>
</file>