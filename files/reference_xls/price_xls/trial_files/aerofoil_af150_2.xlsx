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 2/vibrant-technik/offer-generator/files/reference_xls/price_xls/"/>
    </mc:Choice>
  </mc:AlternateContent>
  <xr:revisionPtr revIDLastSave="0" documentId="13_ncr:1_{DCC6F30C-3A2A-ED4A-81D3-4B5268F9C7D1}" xr6:coauthVersionLast="47" xr6:coauthVersionMax="47" xr10:uidLastSave="{00000000-0000-0000-0000-000000000000}"/>
  <bookViews>
    <workbookView xWindow="0" yWindow="680" windowWidth="30240" windowHeight="17640" xr2:uid="{C496E742-E4DE-5F45-8BA5-297BA30B28EC}"/>
  </bookViews>
  <sheets>
    <sheet name="Price" sheetId="4" r:id="rId1"/>
    <sheet name="Per m weight" sheetId="2" r:id="rId2"/>
    <sheet name="Pricing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J2" i="4" s="1"/>
  <c r="G2" i="4" l="1"/>
  <c r="D4" i="4" l="1"/>
  <c r="D3" i="4"/>
  <c r="C4" i="4"/>
  <c r="C2" i="4"/>
  <c r="C3" i="4"/>
  <c r="J3" i="4" l="1"/>
  <c r="G3" i="4"/>
  <c r="I4" i="4"/>
  <c r="H4" i="4" s="1"/>
  <c r="F4" i="4"/>
  <c r="E4" i="4" s="1"/>
  <c r="J4" i="4"/>
  <c r="G4" i="4"/>
  <c r="I3" i="4"/>
  <c r="H3" i="4" s="1"/>
  <c r="F3" i="4"/>
  <c r="E3" i="4" s="1"/>
  <c r="I2" i="4"/>
  <c r="F2" i="4"/>
  <c r="C5" i="4"/>
  <c r="B2" i="4"/>
  <c r="B4" i="4"/>
  <c r="B3" i="4"/>
  <c r="I5" i="4" l="1"/>
  <c r="F5" i="4"/>
  <c r="B5" i="4"/>
  <c r="E2" i="4"/>
  <c r="E5" i="4" s="1"/>
  <c r="H2" i="4"/>
  <c r="H5" i="4" s="1"/>
</calcChain>
</file>

<file path=xl/sharedStrings.xml><?xml version="1.0" encoding="utf-8"?>
<sst xmlns="http://schemas.openxmlformats.org/spreadsheetml/2006/main" count="26" uniqueCount="26">
  <si>
    <t>Product</t>
  </si>
  <si>
    <t>Pitch</t>
  </si>
  <si>
    <t>Carrier</t>
  </si>
  <si>
    <t>Product Description</t>
  </si>
  <si>
    <t>Weight (kg/m)</t>
  </si>
  <si>
    <t>Perimeter (mm)</t>
  </si>
  <si>
    <t>Aerofoil AF 150/40</t>
  </si>
  <si>
    <t>Aerofoil Wall Bracket WB (for Aerofoil AF100/20, AF150/40, AF200/50, AF 250/50)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</si>
  <si>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</si>
  <si>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</si>
  <si>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</si>
  <si>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</si>
  <si>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</si>
  <si>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</si>
  <si>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</si>
  <si>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</si>
  <si>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</si>
  <si>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</si>
  <si>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</si>
  <si>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</si>
  <si>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AF150</t>
  </si>
  <si>
    <t>Aerofoil Carrier C2 (AF150/40, AF 250/50)</t>
  </si>
  <si>
    <t>Powder Coating</t>
  </si>
  <si>
    <t>Rate (Rs./in2)</t>
  </si>
  <si>
    <t>Wood Finish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</si>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</sst>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2" fillId="0" borderId="0" xfId="1"/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" fontId="0" fillId="2" borderId="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6" xfId="0" applyNumberForma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0" fillId="2" borderId="8" xfId="0" applyNumberFormat="1" applyFill="1" applyBorder="1" applyAlignment="1">
      <alignment horizontal="center" vertical="center"/>
    </xf>
    <xf numFmtId="1" fontId="0" fillId="2" borderId="9" xfId="0" applyNumberForma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" fontId="0" fillId="4" borderId="21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22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1" fontId="0" fillId="3" borderId="10" xfId="0" applyNumberFormat="1" applyFill="1" applyBorder="1" applyAlignment="1">
      <alignment horizontal="center" vertical="center"/>
    </xf>
    <xf numFmtId="1" fontId="0" fillId="3" borderId="11" xfId="0" applyNumberFormat="1" applyFill="1" applyBorder="1" applyAlignment="1">
      <alignment horizontal="center" vertical="center"/>
    </xf>
    <xf numFmtId="1" fontId="0" fillId="3" borderId="12" xfId="0" applyNumberForma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0" fillId="4" borderId="24" xfId="0" applyNumberFormat="1" applyFill="1" applyBorder="1" applyAlignment="1">
      <alignment horizontal="center" vertical="center"/>
    </xf>
    <xf numFmtId="1" fontId="0" fillId="4" borderId="1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 vertical="center"/>
    </xf>
    <xf numFmtId="1" fontId="3" fillId="4" borderId="20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  <xf numFmtId="1" fontId="3" fillId="4" borderId="3" xfId="0" applyNumberFormat="1" applyFon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1" fillId="0" borderId="0" xfId="1" applyFont="1" applyAlignment="1">
      <alignment vertical="center" wrapText="1"/>
    </xf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0" xfId="1" applyAlignment="1">
      <alignment vertical="top" wrapText="1"/>
    </xf>
    <xf numFmtId="0" fontId="3" fillId="0" borderId="0" xfId="0" applyFont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1AB63-4E0A-7740-9B31-54E68592F3E1}">
  <dimension ref="A1:J8"/>
  <sheetViews>
    <sheetView tabSelected="1" zoomScale="150" zoomScaleNormal="100" workbookViewId="0">
      <selection activeCell="C14" sqref="C14"/>
    </sheetView>
  </sheetViews>
  <sheetFormatPr baseColWidth="10" defaultRowHeight="16" x14ac:dyDescent="0.2"/>
  <cols>
    <col min="1" max="1" width="14.5" style="4" bestFit="1" customWidth="1"/>
    <col min="2" max="2" width="8.6640625" style="4" bestFit="1" customWidth="1"/>
    <col min="3" max="3" width="9" style="4" bestFit="1" customWidth="1"/>
    <col min="4" max="4" width="8" style="4" bestFit="1" customWidth="1"/>
    <col min="5" max="5" width="18.5" style="4" bestFit="1" customWidth="1"/>
    <col min="6" max="6" width="18.83203125" style="4" bestFit="1" customWidth="1"/>
    <col min="7" max="7" width="17.83203125" style="4" bestFit="1" customWidth="1"/>
    <col min="8" max="16384" width="10.83203125" style="4"/>
  </cols>
  <sheetData>
    <row r="1" spans="1:10" s="7" customFormat="1" ht="17" thickBot="1" x14ac:dyDescent="0.25">
      <c r="A1" s="35" t="s">
        <v>0</v>
      </c>
      <c r="B1" s="8" t="s">
        <v>8</v>
      </c>
      <c r="C1" s="9" t="s">
        <v>14</v>
      </c>
      <c r="D1" s="10" t="s">
        <v>15</v>
      </c>
      <c r="E1" s="17" t="s">
        <v>9</v>
      </c>
      <c r="F1" s="18" t="s">
        <v>10</v>
      </c>
      <c r="G1" s="19" t="s">
        <v>11</v>
      </c>
      <c r="H1" s="26" t="s">
        <v>16</v>
      </c>
      <c r="I1" s="27" t="s">
        <v>17</v>
      </c>
      <c r="J1" s="28" t="s">
        <v>18</v>
      </c>
    </row>
    <row r="2" spans="1:10" x14ac:dyDescent="0.2">
      <c r="A2" s="36" t="s">
        <v>20</v>
      </c>
      <c r="B2" s="11">
        <f>C2/10.76391</f>
        <v>809.43325117607526</v>
      </c>
      <c r="C2" s="12">
        <f>((1000/B8)*'Per m weight'!B2)*A8</f>
        <v>8712.6666666666679</v>
      </c>
      <c r="D2" s="13">
        <f>+A8*'Per m weight'!B2</f>
        <v>1306.9000000000001</v>
      </c>
      <c r="E2" s="20">
        <f>F2/10.76391</f>
        <v>885.03295170311424</v>
      </c>
      <c r="F2" s="21">
        <f>C2+(((('Per m weight'!C2*0.03937)*39.37)*(1000/B8))*Pricing!$B$2)</f>
        <v>9526.4150391666681</v>
      </c>
      <c r="G2" s="22">
        <f>+D2+((('Per m weight'!C2/25.4)*39.37008)*Pricing!$B$2)</f>
        <v>1428.9627480314962</v>
      </c>
      <c r="H2" s="29">
        <f>I2/10.76391</f>
        <v>990.87253244096883</v>
      </c>
      <c r="I2" s="30">
        <f>C2+(((('Per m weight'!C2*0.03937)*39.37)*(1000/B8))*Pricing!$B$3)</f>
        <v>10665.662760666668</v>
      </c>
      <c r="J2" s="31">
        <f>+D2+((('Per m weight'!C2/25.4)*39.37008)*Pricing!$B$3)</f>
        <v>1599.8505952755906</v>
      </c>
    </row>
    <row r="3" spans="1:10" x14ac:dyDescent="0.2">
      <c r="A3" s="37" t="s">
        <v>19</v>
      </c>
      <c r="B3" s="14">
        <f>C3/10.76391</f>
        <v>50.248159513287149</v>
      </c>
      <c r="C3" s="15">
        <f>((((1000/B8)*2)*50/1000)*'Per m weight'!B3)*A8</f>
        <v>540.86666666666667</v>
      </c>
      <c r="D3" s="16">
        <f>+CEILING(((A8*'Per m weight'!B3)*0.15),10)</f>
        <v>130</v>
      </c>
      <c r="E3" s="23">
        <f>F3/10.76391</f>
        <v>56.488134794884019</v>
      </c>
      <c r="F3" s="24">
        <f>C3+(((('Per m weight'!C3*0.03937)*39.37)*((1000/B8)*2)*50/1000)*Pricing!$B$2)</f>
        <v>608.03319899999997</v>
      </c>
      <c r="G3" s="25">
        <f>+D3+((('Per m weight'!C3/25.4)*6)*Pricing!$B$2)</f>
        <v>145.35433070866142</v>
      </c>
      <c r="H3" s="32">
        <f>I3/10.76391</f>
        <v>65.224100189119639</v>
      </c>
      <c r="I3" s="33">
        <f>C3+(((('Per m weight'!C3*0.03937)*39.37)*((1000/B8)*2)*(50/1000))*Pricing!$B$3)</f>
        <v>702.06634426666665</v>
      </c>
      <c r="J3" s="34">
        <f>+D3+((('Per m weight'!C3/25.4)*6)*Pricing!$B$3)</f>
        <v>166.85039370078741</v>
      </c>
    </row>
    <row r="4" spans="1:10" ht="17" thickBot="1" x14ac:dyDescent="0.25">
      <c r="A4" s="38" t="s">
        <v>2</v>
      </c>
      <c r="B4" s="45">
        <f>C4/10.76391</f>
        <v>61.520395469676004</v>
      </c>
      <c r="C4" s="46">
        <f>((((1000/B8)*2)*50/1000)*'Per m weight'!B4)*A8</f>
        <v>662.20000000000016</v>
      </c>
      <c r="D4" s="47">
        <f>+CEILING(((A8*'Per m weight'!B4)*0.15),10)</f>
        <v>150</v>
      </c>
      <c r="E4" s="39">
        <f>F4/10.76391</f>
        <v>70.664359247708333</v>
      </c>
      <c r="F4" s="40">
        <f>C4+(((('Per m weight'!C4*0.03937)*39.37)*((1000/B8)*2)*50/1000)*Pricing!$B$2)</f>
        <v>760.62480315000016</v>
      </c>
      <c r="G4" s="41">
        <f>+D4+((('Per m weight'!C4/25.4)*6)*Pricing!$B$2)</f>
        <v>172.5</v>
      </c>
      <c r="H4" s="51">
        <f>I4/10.76391</f>
        <v>83.465908536953592</v>
      </c>
      <c r="I4" s="52">
        <f>C4+(((('Per m weight'!C4*0.03937)*39.37)*((1000/B8)*2)*(50/1000))*Pricing!$B$3)</f>
        <v>898.41952756000012</v>
      </c>
      <c r="J4" s="53">
        <f>+D4+((('Per m weight'!C4/25.4)*6)*Pricing!$B$3)</f>
        <v>204</v>
      </c>
    </row>
    <row r="5" spans="1:10" s="7" customFormat="1" ht="17" thickBot="1" x14ac:dyDescent="0.25">
      <c r="A5" s="35" t="s">
        <v>13</v>
      </c>
      <c r="B5" s="48">
        <f>SUM(B2:B4)</f>
        <v>921.20180615903848</v>
      </c>
      <c r="C5" s="49">
        <f>SUM(C2:C4)</f>
        <v>9915.7333333333354</v>
      </c>
      <c r="D5" s="50"/>
      <c r="E5" s="42">
        <f>SUM(E2:E4)</f>
        <v>1012.1854457457066</v>
      </c>
      <c r="F5" s="43">
        <f>SUM(F2:F4)</f>
        <v>10895.073041316668</v>
      </c>
      <c r="G5" s="44"/>
      <c r="H5" s="54">
        <f>SUM(H2:H4)</f>
        <v>1139.5625411670419</v>
      </c>
      <c r="I5" s="55">
        <f>SUM(I2:I4)</f>
        <v>12266.148632493334</v>
      </c>
      <c r="J5" s="56"/>
    </row>
    <row r="6" spans="1:10" ht="17" thickBot="1" x14ac:dyDescent="0.25"/>
    <row r="7" spans="1:10" s="7" customFormat="1" x14ac:dyDescent="0.2">
      <c r="A7" s="2" t="s">
        <v>12</v>
      </c>
      <c r="B7" s="3" t="s">
        <v>1</v>
      </c>
    </row>
    <row r="8" spans="1:10" ht="17" thickBot="1" x14ac:dyDescent="0.25">
      <c r="A8" s="5">
        <v>700</v>
      </c>
      <c r="B8" s="6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C4"/>
  <sheetViews>
    <sheetView zoomScale="150" zoomScaleNormal="100" workbookViewId="0">
      <selection activeCell="A3" sqref="A3"/>
    </sheetView>
  </sheetViews>
  <sheetFormatPr baseColWidth="10" defaultColWidth="8.6640625" defaultRowHeight="15" x14ac:dyDescent="0.2"/>
  <cols>
    <col min="1" max="1" width="47.33203125" style="1" bestFit="1" customWidth="1"/>
    <col min="2" max="2" width="6.6640625" style="1" bestFit="1" customWidth="1"/>
    <col min="3" max="3" width="9.1640625" style="1" bestFit="1" customWidth="1"/>
    <col min="4" max="4" width="17.6640625" style="1" bestFit="1" customWidth="1"/>
    <col min="5" max="16384" width="8.6640625" style="1"/>
  </cols>
  <sheetData>
    <row r="1" spans="1:3" ht="32" customHeight="1" x14ac:dyDescent="0.2">
      <c r="A1" s="58" t="s">
        <v>3</v>
      </c>
      <c r="B1" s="59" t="s">
        <v>4</v>
      </c>
      <c r="C1" s="59" t="s">
        <v>5</v>
      </c>
    </row>
    <row r="2" spans="1:3" x14ac:dyDescent="0.2">
      <c r="A2" s="1" t="s">
        <v>6</v>
      </c>
      <c r="B2" s="60">
        <v>1.867</v>
      </c>
      <c r="C2" s="61">
        <v>315</v>
      </c>
    </row>
    <row r="3" spans="1:3" ht="32" x14ac:dyDescent="0.2">
      <c r="A3" s="62" t="s">
        <v>7</v>
      </c>
      <c r="B3" s="60">
        <v>1.159</v>
      </c>
      <c r="C3" s="61">
        <v>260</v>
      </c>
    </row>
    <row r="4" spans="1:3" x14ac:dyDescent="0.2">
      <c r="A4" s="1" t="s">
        <v>21</v>
      </c>
      <c r="B4" s="60">
        <v>1.419</v>
      </c>
      <c r="C4" s="61">
        <v>381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5E248-C595-1143-B78B-96C9F8580732}">
  <dimension ref="A1:B3"/>
  <sheetViews>
    <sheetView workbookViewId="0">
      <selection activeCell="B8" sqref="B8"/>
    </sheetView>
  </sheetViews>
  <sheetFormatPr baseColWidth="10" defaultRowHeight="16" x14ac:dyDescent="0.2"/>
  <cols>
    <col min="1" max="1" width="22.83203125" bestFit="1" customWidth="1"/>
    <col min="2" max="2" width="12.33203125" bestFit="1" customWidth="1"/>
  </cols>
  <sheetData>
    <row r="1" spans="1:2" x14ac:dyDescent="0.2">
      <c r="A1" s="63" t="s">
        <v>25</v>
      </c>
      <c r="B1" s="63" t="s">
        <v>23</v>
      </c>
    </row>
    <row r="2" spans="1:2" x14ac:dyDescent="0.2">
      <c r="A2" s="57" t="s">
        <v>22</v>
      </c>
      <c r="B2" s="57">
        <v>0.25</v>
      </c>
    </row>
    <row r="3" spans="1:2" x14ac:dyDescent="0.2">
      <c r="A3" s="57" t="s">
        <v>24</v>
      </c>
      <c r="B3" s="57">
        <v>0.6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Pricing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2025-12-22T10:05:01Z</dcterms:modified>
</cp:coreProperties>
</file>