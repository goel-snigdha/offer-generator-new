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2882351B-8168-6A46-92FE-34ED0B2EA7AB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4" r:id="rId1"/>
    <sheet name="Per m weight" sheetId="2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F5" i="2"/>
  <c r="D5" i="2"/>
  <c r="E5" i="2" s="1"/>
  <c r="D2" i="4"/>
  <c r="G2" i="4" s="1"/>
  <c r="D4" i="4"/>
  <c r="J4" i="4" s="1"/>
  <c r="D3" i="4"/>
  <c r="G3" i="4" s="1"/>
  <c r="C4" i="4"/>
  <c r="F4" i="4" s="1"/>
  <c r="C2" i="4"/>
  <c r="F2" i="4" s="1"/>
  <c r="C3" i="4"/>
  <c r="F3" i="4" s="1"/>
  <c r="I3" i="4" l="1"/>
  <c r="I2" i="4"/>
  <c r="J3" i="4"/>
  <c r="I4" i="4"/>
  <c r="G4" i="4"/>
  <c r="J2" i="4"/>
  <c r="C5" i="4"/>
  <c r="H4" i="4"/>
  <c r="H3" i="4"/>
  <c r="E4" i="4"/>
  <c r="B2" i="4"/>
  <c r="B4" i="4"/>
  <c r="B3" i="4"/>
  <c r="E3" i="4"/>
  <c r="I5" i="4" l="1"/>
  <c r="F5" i="4"/>
  <c r="B5" i="4"/>
  <c r="E2" i="4"/>
  <c r="H2" i="4"/>
  <c r="H5" i="4" s="1"/>
</calcChain>
</file>

<file path=xl/sharedStrings.xml><?xml version="1.0" encoding="utf-8"?>
<sst xmlns="http://schemas.openxmlformats.org/spreadsheetml/2006/main" count="26" uniqueCount="26">
  <si>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</si>
  <si>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</si>
  <si>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</si>
  <si>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</si>
  <si>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</si>
  <si>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</si>
  <si>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</si>
  <si>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</si>
  <si>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</si>
  <si>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100/20</t>
  </si>
  <si>
    <t>Aerofoil AF 150/40</t>
  </si>
  <si>
    <t>Aerofoil Wall Bracket WB (for Aerofoil AF100/20, AF150/40, AF200/50, AF 250/50)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</si>
  <si>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</si>
  <si>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</si>
  <si>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</si>
  <si>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</si>
  <si>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</si>
  <si>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</si>
  <si>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</si>
  <si>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</si>
  <si>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</si>
  <si>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</si>
  <si>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</si>
  <si>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</si>
  <si>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AF150</t>
  </si>
  <si>
    <t>Aerofoil Carrier C2 (AF150/40, AF 250/50)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</si>
</sst>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7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2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1" fontId="0" fillId="4" borderId="1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3" borderId="11" xfId="0" applyNumberFormat="1" applyFill="1" applyBorder="1" applyAlignment="1">
      <alignment horizontal="center" vertical="center"/>
    </xf>
    <xf numFmtId="1" fontId="0" fillId="3" borderId="12" xfId="0" applyNumberForma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3" borderId="2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center" vertical="center"/>
    </xf>
    <xf numFmtId="1" fontId="0" fillId="5" borderId="24" xfId="0" applyNumberFormat="1" applyFill="1" applyBorder="1" applyAlignment="1">
      <alignment horizontal="center" vertical="center"/>
    </xf>
    <xf numFmtId="1" fontId="0" fillId="5" borderId="11" xfId="0" applyNumberFormat="1" applyFill="1" applyBorder="1" applyAlignment="1">
      <alignment horizontal="center" vertical="center"/>
    </xf>
    <xf numFmtId="1" fontId="0" fillId="5" borderId="12" xfId="0" applyNumberFormat="1" applyFill="1" applyBorder="1" applyAlignment="1">
      <alignment horizontal="center" vertical="center"/>
    </xf>
    <xf numFmtId="1" fontId="4" fillId="5" borderId="20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0" fontId="2" fillId="0" borderId="25" xfId="1" applyBorder="1" applyAlignment="1">
      <alignment horizontal="center"/>
    </xf>
    <xf numFmtId="0" fontId="2" fillId="0" borderId="0" xfId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1AB63-4E0A-7740-9B31-54E68592F3E1}">
  <dimension ref="A1:J13"/>
  <sheetViews>
    <sheetView tabSelected="1" zoomScale="150" zoomScaleNormal="100" workbookViewId="0">
      <selection activeCell="E6" sqref="E6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16384" width="10.83203125" style="12"/>
  </cols>
  <sheetData>
    <row r="1" spans="1:10" s="15" customFormat="1" ht="17" thickBot="1" x14ac:dyDescent="0.25">
      <c r="A1" s="43" t="s">
        <v>0</v>
      </c>
      <c r="B1" s="16" t="s">
        <v>12</v>
      </c>
      <c r="C1" s="17" t="s">
        <v>18</v>
      </c>
      <c r="D1" s="18" t="s">
        <v>19</v>
      </c>
      <c r="E1" s="25" t="s">
        <v>13</v>
      </c>
      <c r="F1" s="26" t="s">
        <v>14</v>
      </c>
      <c r="G1" s="27" t="s">
        <v>15</v>
      </c>
      <c r="H1" s="34" t="s">
        <v>20</v>
      </c>
      <c r="I1" s="35" t="s">
        <v>21</v>
      </c>
      <c r="J1" s="36" t="s">
        <v>22</v>
      </c>
    </row>
    <row r="2" spans="1:10" x14ac:dyDescent="0.2">
      <c r="A2" s="44" t="s">
        <v>24</v>
      </c>
      <c r="B2" s="19">
        <f>C2/10.76391</f>
        <v>1430.9623547577046</v>
      </c>
      <c r="C2" s="20">
        <f>((1000/B8)*'Per m weight'!B4)*A8</f>
        <v>15402.750000000002</v>
      </c>
      <c r="D2" s="21">
        <f>+A8*'Per m weight'!B4</f>
        <v>1540.2750000000001</v>
      </c>
      <c r="E2" s="28">
        <f>F2/10.76391</f>
        <v>1544.3619055482629</v>
      </c>
      <c r="F2" s="29">
        <f>C2+(((('Per m weight'!C4*0.03937)*39.37)*(1000/B8))*'Coating Rate'!C1)</f>
        <v>16623.372558750001</v>
      </c>
      <c r="G2" s="30">
        <f>+D2+((('Per m weight'!C3/25.4)*39.37008)*'Coating Rate'!C1)</f>
        <v>1620.1001622047245</v>
      </c>
      <c r="H2" s="37">
        <f>I2/10.76391</f>
        <v>1703.121276655045</v>
      </c>
      <c r="I2" s="38">
        <f>C2+(((('Per m weight'!C4*0.03937)*39.37)*(1000/B8))*'Coating Rate'!C2)</f>
        <v>18332.244141000003</v>
      </c>
      <c r="J2" s="39">
        <f>+D2+((('Per m weight'!C4/25.4)*39.37008)*'Coating Rate'!C2)</f>
        <v>1833.2255952755906</v>
      </c>
    </row>
    <row r="3" spans="1:10" x14ac:dyDescent="0.2">
      <c r="A3" s="45" t="s">
        <v>23</v>
      </c>
      <c r="B3" s="22">
        <f>C3/10.76391</f>
        <v>88.831567710989788</v>
      </c>
      <c r="C3" s="23">
        <f>((((1000/B8)*2)*50/1000)*'Per m weight'!B5)*A8</f>
        <v>956.17500000000007</v>
      </c>
      <c r="D3" s="24">
        <f>+CEILING(((A8*'Per m weight'!B5)*0.15),10)</f>
        <v>150</v>
      </c>
      <c r="E3" s="31">
        <f>F3/10.76391</f>
        <v>98.191530633385099</v>
      </c>
      <c r="F3" s="32">
        <f>C3+(((('Per m weight'!C5*0.03937)*39.37)*((1000/B8)*2)*50/1000)*'Coating Rate'!C1)</f>
        <v>1056.9247985000002</v>
      </c>
      <c r="G3" s="33">
        <f>+D3+((('Per m weight'!C5/25.4)*6)*'Coating Rate'!C1)</f>
        <v>165.35433070866142</v>
      </c>
      <c r="H3" s="40">
        <f>I3/10.76391</f>
        <v>111.29547872473852</v>
      </c>
      <c r="I3" s="41">
        <f>C3+(((('Per m weight'!C5*0.03937)*39.37)*((1000/B8)*2)*(50/1000))*'Coating Rate'!C2)</f>
        <v>1197.9745164000001</v>
      </c>
      <c r="J3" s="42">
        <f>+D3+((('Per m weight'!C5/25.4)*6)*'Coating Rate'!C2)</f>
        <v>186.85039370078741</v>
      </c>
    </row>
    <row r="4" spans="1:10" ht="17" thickBot="1" x14ac:dyDescent="0.25">
      <c r="A4" s="46" t="s">
        <v>2</v>
      </c>
      <c r="B4" s="53">
        <f>C4/10.76391</f>
        <v>108.7592705624629</v>
      </c>
      <c r="C4" s="54">
        <f>((((1000/B8)*2)*50/1000)*'Per m weight'!B6)*A8</f>
        <v>1170.675</v>
      </c>
      <c r="D4" s="55">
        <f>+CEILING(((A8*'Per m weight'!B6)*0.15),10)</f>
        <v>180</v>
      </c>
      <c r="E4" s="47">
        <f>F4/10.76391</f>
        <v>122.47521622951139</v>
      </c>
      <c r="F4" s="48">
        <f>C4+(((('Per m weight'!C6*0.03937)*39.37)*((1000/B8)*2)*50/1000)*'Coating Rate'!C1)</f>
        <v>1318.3122047249999</v>
      </c>
      <c r="G4" s="49">
        <f>+D4+((('Per m weight'!C6/25.4)*6)*'Coating Rate'!C1)</f>
        <v>202.5</v>
      </c>
      <c r="H4" s="59">
        <f>I4/10.76391</f>
        <v>141.67754016337929</v>
      </c>
      <c r="I4" s="60">
        <f>C4+(((('Per m weight'!C6*0.03937)*39.37)*((1000/B8)*2)*(50/1000))*'Coating Rate'!C2)</f>
        <v>1525.00429134</v>
      </c>
      <c r="J4" s="61">
        <f>+D4+((('Per m weight'!C6/25.4)*6)*'Coating Rate'!C2)</f>
        <v>234</v>
      </c>
    </row>
    <row r="5" spans="1:10" s="15" customFormat="1" ht="17" thickBot="1" x14ac:dyDescent="0.25">
      <c r="A5" s="43" t="s">
        <v>17</v>
      </c>
      <c r="B5" s="56">
        <f>SUM(B2:B4)</f>
        <v>1628.5531930311572</v>
      </c>
      <c r="C5" s="57">
        <f>SUM(C2:C4)</f>
        <v>17529.600000000002</v>
      </c>
      <c r="D5" s="58"/>
      <c r="E5" s="50">
        <f>SUM(E2:E4)</f>
        <v>1765.0286524111596</v>
      </c>
      <c r="F5" s="51">
        <f>SUM(F2:F4)</f>
        <v>18998.609561975001</v>
      </c>
      <c r="G5" s="52"/>
      <c r="H5" s="62">
        <f>SUM(H2:H4)</f>
        <v>1956.0942955431628</v>
      </c>
      <c r="I5" s="63">
        <f>SUM(I2:I4)</f>
        <v>21055.222948740004</v>
      </c>
      <c r="J5" s="64"/>
    </row>
    <row r="6" spans="1:10" ht="17" thickBot="1" x14ac:dyDescent="0.25"/>
    <row r="7" spans="1:10" s="15" customFormat="1" x14ac:dyDescent="0.2">
      <c r="A7" s="10" t="s">
        <v>16</v>
      </c>
      <c r="B7" s="11" t="s">
        <v>1</v>
      </c>
    </row>
    <row r="8" spans="1:10" ht="17" thickBot="1" x14ac:dyDescent="0.25">
      <c r="A8" s="13">
        <v>825</v>
      </c>
      <c r="B8" s="14">
        <v>100</v>
      </c>
    </row>
    <row r="12" spans="1:10" x14ac:dyDescent="0.2">
      <c r="B12" s="66"/>
      <c r="C12" s="66"/>
      <c r="D12" s="1"/>
    </row>
    <row r="13" spans="1:10" x14ac:dyDescent="0.2">
      <c r="B13" s="66"/>
      <c r="C13" s="66"/>
      <c r="D13" s="1"/>
    </row>
  </sheetData>
  <mergeCells count="2">
    <mergeCell ref="B12:C12"/>
    <mergeCell ref="B13:C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F6"/>
  <sheetViews>
    <sheetView zoomScale="150" zoomScaleNormal="100" workbookViewId="0">
      <selection activeCell="A18" sqref="A18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7" width="8.6640625" style="1" customWidth="1"/>
    <col min="8" max="8" width="8.6640625" style="1"/>
    <col min="9" max="9" width="8.6640625" style="1" customWidth="1"/>
    <col min="10" max="16384" width="8.6640625" style="1"/>
  </cols>
  <sheetData>
    <row r="1" spans="1:6" ht="16" thickBot="1" x14ac:dyDescent="0.25">
      <c r="A1" s="65" t="s">
        <v>3</v>
      </c>
      <c r="B1" s="65"/>
      <c r="C1" s="65"/>
    </row>
    <row r="2" spans="1:6" ht="32" customHeight="1" thickBot="1" x14ac:dyDescent="0.25">
      <c r="A2" s="2" t="s">
        <v>4</v>
      </c>
      <c r="B2" s="3" t="s">
        <v>5</v>
      </c>
      <c r="C2" s="4" t="s">
        <v>6</v>
      </c>
    </row>
    <row r="3" spans="1:6" x14ac:dyDescent="0.2">
      <c r="A3" s="8" t="s">
        <v>9</v>
      </c>
      <c r="B3" s="6">
        <v>1.0820000000000001</v>
      </c>
      <c r="C3" s="7">
        <v>206</v>
      </c>
    </row>
    <row r="4" spans="1:6" x14ac:dyDescent="0.2">
      <c r="A4" s="8" t="s">
        <v>10</v>
      </c>
      <c r="B4" s="6">
        <v>1.867</v>
      </c>
      <c r="C4" s="7">
        <v>315</v>
      </c>
    </row>
    <row r="5" spans="1:6" ht="32" x14ac:dyDescent="0.2">
      <c r="A5" s="9" t="s">
        <v>11</v>
      </c>
      <c r="B5" s="6">
        <v>1.159</v>
      </c>
      <c r="C5" s="7">
        <v>260</v>
      </c>
      <c r="D5" s="1">
        <f>+B5/1000</f>
        <v>1.1590000000000001E-3</v>
      </c>
      <c r="E5" s="1">
        <f>+D5*150</f>
        <v>0.17385</v>
      </c>
      <c r="F5" s="1">
        <f>+C5*0.15</f>
        <v>39</v>
      </c>
    </row>
    <row r="6" spans="1:6" x14ac:dyDescent="0.2">
      <c r="A6" s="5" t="s">
        <v>25</v>
      </c>
      <c r="B6" s="6">
        <v>1.419</v>
      </c>
      <c r="C6" s="7">
        <v>381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B9264-CEC6-1E4B-ADF1-48ECB6D4F552}">
  <dimension ref="A1:C2"/>
  <sheetViews>
    <sheetView zoomScale="180" workbookViewId="0">
      <selection activeCell="E5" sqref="E5"/>
    </sheetView>
  </sheetViews>
  <sheetFormatPr baseColWidth="10" defaultRowHeight="16" x14ac:dyDescent="0.2"/>
  <sheetData>
    <row r="1" spans="1:3" ht="17" x14ac:dyDescent="0.2">
      <c r="A1" s="66" t="s">
        <v>7</v>
      </c>
      <c r="B1" s="66"/>
      <c r="C1" s="1">
        <v>0.25</v>
      </c>
    </row>
    <row r="2" spans="1:3" ht="17" x14ac:dyDescent="0.2">
      <c r="A2" s="66" t="s">
        <v>8</v>
      </c>
      <c r="B2" s="66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2026-03-14T05:46:24Z</dcterms:modified>
</cp:coreProperties>
</file>