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offer-generator-test/louvers/files/reference_xls/price_xls/"/>
    </mc:Choice>
  </mc:AlternateContent>
  <xr:revisionPtr revIDLastSave="0" documentId="13_ncr:1_{422E29FC-1A6F-5B42-886C-90D8DCC29256}" xr6:coauthVersionLast="47" xr6:coauthVersionMax="47" xr10:uidLastSave="{00000000-0000-0000-0000-000000000000}"/>
  <bookViews>
    <workbookView xWindow="0" yWindow="660" windowWidth="30240" windowHeight="17660" xr2:uid="{C496E742-E4DE-5F45-8BA5-297BA30B28EC}"/>
  </bookViews>
  <sheets>
    <sheet name="Price" sheetId="3" r:id="rId1"/>
    <sheet name="Per m weight" sheetId="4" r:id="rId2"/>
    <sheet name="Coating Rat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E4" i="4"/>
  <c r="F4" i="4" s="1"/>
  <c r="D4" i="3"/>
  <c r="J4" i="3" s="1"/>
  <c r="C4" i="3"/>
  <c r="I4" i="3" s="1"/>
  <c r="D3" i="3"/>
  <c r="J3" i="3" s="1"/>
  <c r="C3" i="3"/>
  <c r="F3" i="3" s="1"/>
  <c r="D2" i="3"/>
  <c r="J2" i="3" s="1"/>
  <c r="C2" i="3"/>
  <c r="F2" i="3" s="1"/>
  <c r="G3" i="3" l="1"/>
  <c r="G2" i="3"/>
  <c r="G4" i="3"/>
  <c r="F4" i="3"/>
  <c r="I2" i="3"/>
  <c r="I3" i="3"/>
  <c r="H4" i="3" l="1"/>
  <c r="E3" i="3"/>
  <c r="E4" i="3"/>
  <c r="H3" i="3"/>
  <c r="B2" i="3"/>
  <c r="I5" i="3"/>
  <c r="H2" i="3"/>
  <c r="B4" i="3"/>
  <c r="B3" i="3"/>
  <c r="C5" i="3"/>
  <c r="H5" i="3" l="1"/>
  <c r="B5" i="3"/>
  <c r="F5" i="3"/>
  <c r="E2" i="3"/>
  <c r="E5" i="3" s="1"/>
</calcChain>
</file>

<file path=xl/sharedStrings.xml><?xml version="1.0" encoding="utf-8"?>
<sst xmlns="http://schemas.openxmlformats.org/spreadsheetml/2006/main" count="25" uniqueCount="25">
  <si>
    <t>Product</t>
  </si>
  <si>
    <t>Pitch</t>
  </si>
  <si>
    <t>Carrier</t>
  </si>
  <si>
    <t>Correct Weight 2020</t>
  </si>
  <si>
    <t>Product Description</t>
  </si>
  <si>
    <t>Weight (kg/m)</t>
  </si>
  <si>
    <t>Perimeter (mm)</t>
  </si>
  <si>
    <r>
      <t>Powder Coating Rate (Rs./in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)</t>
    </r>
  </si>
  <si>
    <r>
      <t>Wood Finish Rate (Rs./in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)</t>
    </r>
  </si>
  <si>
    <t>Aerofoil AF 100/20</t>
  </si>
  <si>
    <t>Aerofoil Wall Bracket WB (for Aerofoil AF100/20, AF150/40, AF200/50, AF 250/50)</t>
  </si>
  <si>
    <t>Aerofoil Carrier C1 (AF100/20)</t>
  </si>
  <si>
    <t>Mill (/ft2)</t>
  </si>
  <si>
    <t>Powder Coating (/ft2)</t>
  </si>
  <si>
    <t>Powder Coating (/m2)</t>
  </si>
  <si>
    <t>Powder Coating (/m)</t>
  </si>
  <si>
    <t>Conversion Rate</t>
  </si>
  <si>
    <t>Total Rate</t>
  </si>
  <si>
    <t>Mill (/m2)</t>
  </si>
  <si>
    <t>Mill (/m)</t>
  </si>
  <si>
    <t>PVDF (/ft2)</t>
  </si>
  <si>
    <t>PVDF (/m2)</t>
  </si>
  <si>
    <t>PVDF (/m)</t>
  </si>
  <si>
    <t>Wall Brackets</t>
  </si>
  <si>
    <t>AF60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</si>
</sst>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2" fillId="0" borderId="0" xfId="1"/>
    <xf numFmtId="0" fontId="1" fillId="0" borderId="1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2" fillId="0" borderId="7" xfId="1" applyBorder="1"/>
    <xf numFmtId="164" fontId="2" fillId="0" borderId="8" xfId="1" applyNumberForma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2" borderId="7" xfId="1" applyFill="1" applyBorder="1"/>
    <xf numFmtId="0" fontId="2" fillId="0" borderId="7" xfId="1" applyBorder="1" applyAlignment="1">
      <alignment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3" borderId="9" xfId="0" applyNumberFormat="1" applyFill="1" applyBorder="1" applyAlignment="1">
      <alignment horizontal="center" vertical="center"/>
    </xf>
    <xf numFmtId="1" fontId="4" fillId="3" borderId="12" xfId="0" applyNumberFormat="1" applyFont="1" applyFill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3" borderId="13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1" fontId="0" fillId="4" borderId="9" xfId="0" applyNumberFormat="1" applyFill="1" applyBorder="1" applyAlignment="1">
      <alignment horizontal="center" vertical="center"/>
    </xf>
    <xf numFmtId="1" fontId="4" fillId="4" borderId="12" xfId="0" applyNumberFormat="1" applyFont="1" applyFill="1" applyBorder="1" applyAlignment="1">
      <alignment horizontal="center" vertical="center"/>
    </xf>
    <xf numFmtId="1" fontId="4" fillId="4" borderId="14" xfId="0" applyNumberFormat="1" applyFont="1" applyFill="1" applyBorder="1" applyAlignment="1">
      <alignment horizontal="center" vertical="center"/>
    </xf>
    <xf numFmtId="1" fontId="4" fillId="4" borderId="13" xfId="0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" fontId="0" fillId="5" borderId="20" xfId="0" applyNumberFormat="1" applyFill="1" applyBorder="1" applyAlignment="1">
      <alignment horizontal="center" vertical="center"/>
    </xf>
    <xf numFmtId="1" fontId="0" fillId="5" borderId="5" xfId="0" applyNumberFormat="1" applyFill="1" applyBorder="1" applyAlignment="1">
      <alignment horizontal="center" vertical="center"/>
    </xf>
    <xf numFmtId="1" fontId="0" fillId="5" borderId="6" xfId="0" applyNumberFormat="1" applyFill="1" applyBorder="1" applyAlignment="1">
      <alignment horizontal="center" vertical="center"/>
    </xf>
    <xf numFmtId="1" fontId="0" fillId="5" borderId="21" xfId="0" applyNumberFormat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1" fontId="4" fillId="5" borderId="22" xfId="0" applyNumberFormat="1" applyFont="1" applyFill="1" applyBorder="1" applyAlignment="1">
      <alignment horizontal="center" vertical="center"/>
    </xf>
    <xf numFmtId="1" fontId="4" fillId="5" borderId="14" xfId="0" applyNumberFormat="1" applyFont="1" applyFill="1" applyBorder="1" applyAlignment="1">
      <alignment horizontal="center" vertical="center"/>
    </xf>
    <xf numFmtId="1" fontId="4" fillId="5" borderId="13" xfId="0" applyNumberFormat="1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2" fillId="0" borderId="23" xfId="1" applyBorder="1" applyAlignment="1">
      <alignment horizontal="center"/>
    </xf>
    <xf numFmtId="0" fontId="2" fillId="0" borderId="0" xfId="1" applyAlignment="1">
      <alignment horizontal="center"/>
    </xf>
  </cellXfs>
  <cellStyles count="2">
    <cellStyle name="Normal" xfId="0" builtinId="0"/>
    <cellStyle name="Normal 2" xfId="1" xr:uid="{AED680E4-B004-ED42-A6AC-9195F95E3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500A-4F33-154C-8CC0-27EB6B00291C}">
  <dimension ref="A1:J8"/>
  <sheetViews>
    <sheetView tabSelected="1" zoomScale="181" workbookViewId="0">
      <selection activeCell="A9" sqref="A9"/>
    </sheetView>
  </sheetViews>
  <sheetFormatPr baseColWidth="10" defaultRowHeight="16" x14ac:dyDescent="0.2"/>
  <cols>
    <col min="1" max="1" width="14.5" style="12" bestFit="1" customWidth="1"/>
    <col min="2" max="2" width="8.6640625" style="12" bestFit="1" customWidth="1"/>
    <col min="3" max="3" width="9" style="12" bestFit="1" customWidth="1"/>
    <col min="4" max="4" width="8" style="12" bestFit="1" customWidth="1"/>
    <col min="5" max="5" width="18.5" style="12" bestFit="1" customWidth="1"/>
    <col min="6" max="6" width="18.83203125" style="12" bestFit="1" customWidth="1"/>
    <col min="7" max="7" width="17.83203125" style="12" bestFit="1" customWidth="1"/>
    <col min="8" max="8" width="10" style="12" bestFit="1" customWidth="1"/>
    <col min="9" max="16384" width="10.83203125" style="12"/>
  </cols>
  <sheetData>
    <row r="1" spans="1:10" s="16" customFormat="1" ht="17" thickBot="1" x14ac:dyDescent="0.25">
      <c r="A1" s="53" t="s">
        <v>0</v>
      </c>
      <c r="B1" s="17" t="s">
        <v>12</v>
      </c>
      <c r="C1" s="18" t="s">
        <v>18</v>
      </c>
      <c r="D1" s="19" t="s">
        <v>19</v>
      </c>
      <c r="E1" s="29" t="s">
        <v>13</v>
      </c>
      <c r="F1" s="30" t="s">
        <v>14</v>
      </c>
      <c r="G1" s="31" t="s">
        <v>15</v>
      </c>
      <c r="H1" s="41" t="s">
        <v>20</v>
      </c>
      <c r="I1" s="42" t="s">
        <v>21</v>
      </c>
      <c r="J1" s="43" t="s">
        <v>22</v>
      </c>
    </row>
    <row r="2" spans="1:10" x14ac:dyDescent="0.2">
      <c r="A2" s="54" t="s">
        <v>24</v>
      </c>
      <c r="B2" s="20">
        <f>C2/10.76391</f>
        <v>829.29901866515058</v>
      </c>
      <c r="C2" s="21">
        <f>((1000/B8)*'Per m weight'!B3)*A8</f>
        <v>8926.5</v>
      </c>
      <c r="D2" s="22">
        <f>+A8*'Per m weight'!B3</f>
        <v>892.65000000000009</v>
      </c>
      <c r="E2" s="32">
        <f>F2/10.76391</f>
        <v>903.45872489643637</v>
      </c>
      <c r="F2" s="33">
        <f>C2+(((('Per m weight'!C3*0.03937)*39.37)*(1000/B8))*'Coating Rate'!C1)</f>
        <v>9724.7484034999998</v>
      </c>
      <c r="G2" s="34">
        <f>+D2+((('Per m weight'!C3/25.4)*39.37008)*'Coating Rate'!C1)</f>
        <v>972.47516220472448</v>
      </c>
      <c r="H2" s="44">
        <f>I2/10.76391</f>
        <v>1036.9461961127508</v>
      </c>
      <c r="I2" s="45">
        <f>C2+(((('Per m weight'!C3*0.03937)*39.37)*(1000/B8))*0.7)</f>
        <v>11161.595529799999</v>
      </c>
      <c r="J2" s="46">
        <f>+D2+((('Per m weight'!C3/25.4)*39.37008)*'Coating Rate'!C2)</f>
        <v>1084.2303892913387</v>
      </c>
    </row>
    <row r="3" spans="1:10" x14ac:dyDescent="0.2">
      <c r="A3" s="55" t="s">
        <v>23</v>
      </c>
      <c r="B3" s="23">
        <f>C3/10.76391</f>
        <v>83.083191888449477</v>
      </c>
      <c r="C3" s="24">
        <f>((((1000/B8)*2)*50/1000)*'Per m weight'!B4)*A8</f>
        <v>894.30000000000007</v>
      </c>
      <c r="D3" s="25">
        <f>CEILING(((A8*'Per m weight'!B4)*0.15),10)</f>
        <v>140</v>
      </c>
      <c r="E3" s="35">
        <f>F3/10.76391</f>
        <v>92.443154810844774</v>
      </c>
      <c r="F3" s="36">
        <f>C3+(((('Per m weight'!C4*0.03937)*39.37)*((1000/B8)*2)*50/1000)*'Coating Rate'!C1)</f>
        <v>995.04979850000007</v>
      </c>
      <c r="G3" s="37">
        <f>+D3+((('Per m weight'!C4/25.4)*6)*'Coating Rate'!C1)</f>
        <v>155.35433070866142</v>
      </c>
      <c r="H3" s="47">
        <f>I3/10.76391</f>
        <v>109.29108807115631</v>
      </c>
      <c r="I3" s="48">
        <f>C3+(((('Per m weight'!C4*0.03937)*39.37)*((1000/B8)*2)*(50/1000))*0.7)</f>
        <v>1176.3994358</v>
      </c>
      <c r="J3" s="49">
        <f>+D3+((('Per m weight'!C4/25.4)*6)*'Coating Rate'!C2)</f>
        <v>176.85039370078741</v>
      </c>
    </row>
    <row r="4" spans="1:10" x14ac:dyDescent="0.2">
      <c r="A4" s="55" t="s">
        <v>2</v>
      </c>
      <c r="B4" s="23">
        <f>C4/10.76391</f>
        <v>76.18514090140107</v>
      </c>
      <c r="C4" s="24">
        <f>((((1000/B8)*2)*50/1000)*'Per m weight'!B5)*A8</f>
        <v>820.05</v>
      </c>
      <c r="D4" s="25">
        <f>+CEILING(((A8*'Per m weight'!B5)*0.15),10)</f>
        <v>130</v>
      </c>
      <c r="E4" s="35">
        <f>F4/10.76391</f>
        <v>80.43312407387279</v>
      </c>
      <c r="F4" s="36">
        <f>C4+(((('Per m weight'!C5*0.03937)*39.37)*((1000/B8)*2)*50/1000)*'Coating Rate'!C1)</f>
        <v>865.77490854999996</v>
      </c>
      <c r="G4" s="37">
        <f>+D4+((('Per m weight'!C5/25.4)*6)*'Coating Rate'!C1)</f>
        <v>136.96850393700788</v>
      </c>
      <c r="H4" s="47">
        <f>I4/10.76391</f>
        <v>88.079493784321869</v>
      </c>
      <c r="I4" s="48">
        <f>C4+(((('Per m weight'!C5*0.03937)*39.37)*((1000/B8)*2)*(50/1000))*0.7)</f>
        <v>948.07974393999996</v>
      </c>
      <c r="J4" s="49">
        <f>+D4+((('Per m weight'!C5/25.4)*6)*'Coating Rate'!C2)</f>
        <v>146.7244094488189</v>
      </c>
    </row>
    <row r="5" spans="1:10" s="16" customFormat="1" ht="17" thickBot="1" x14ac:dyDescent="0.25">
      <c r="A5" s="56" t="s">
        <v>17</v>
      </c>
      <c r="B5" s="26">
        <f>CEILING((SUM(B2:B4)),10)</f>
        <v>990</v>
      </c>
      <c r="C5" s="27">
        <f>CEILING((SUM(C2:C4)),10)</f>
        <v>10650</v>
      </c>
      <c r="D5" s="28"/>
      <c r="E5" s="38">
        <f>+CEILING((SUM(E2:E4)),10)</f>
        <v>1080</v>
      </c>
      <c r="F5" s="39">
        <f>+CEILING((SUM(F2:F4)),10)</f>
        <v>11590</v>
      </c>
      <c r="G5" s="40"/>
      <c r="H5" s="50">
        <f t="shared" ref="H5:I5" si="0">+CEILING((SUM(H2:H4)),10)</f>
        <v>1240</v>
      </c>
      <c r="I5" s="51">
        <f t="shared" si="0"/>
        <v>13290</v>
      </c>
      <c r="J5" s="52"/>
    </row>
    <row r="6" spans="1:10" ht="17" thickBot="1" x14ac:dyDescent="0.25"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2">
      <c r="A7" s="10" t="s">
        <v>16</v>
      </c>
      <c r="B7" s="11" t="s">
        <v>1</v>
      </c>
    </row>
    <row r="8" spans="1:10" ht="17" thickBot="1" x14ac:dyDescent="0.25">
      <c r="A8" s="14">
        <v>825</v>
      </c>
      <c r="B8" s="1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A190-8760-0144-A80F-52D904EB1A4A}">
  <dimension ref="A1:G5"/>
  <sheetViews>
    <sheetView zoomScale="210" workbookViewId="0">
      <selection activeCell="A10" sqref="A10"/>
    </sheetView>
  </sheetViews>
  <sheetFormatPr baseColWidth="10" defaultColWidth="8.6640625" defaultRowHeight="15" x14ac:dyDescent="0.2"/>
  <cols>
    <col min="1" max="1" width="47.33203125" style="1" bestFit="1" customWidth="1"/>
    <col min="2" max="2" width="7.5" style="1" bestFit="1" customWidth="1"/>
    <col min="3" max="3" width="10" style="1" bestFit="1" customWidth="1"/>
    <col min="4" max="4" width="17.6640625" style="1" bestFit="1" customWidth="1"/>
    <col min="5" max="6" width="13.6640625" style="1" customWidth="1"/>
    <col min="7" max="16384" width="8.6640625" style="1"/>
  </cols>
  <sheetData>
    <row r="1" spans="1:7" ht="16" thickBot="1" x14ac:dyDescent="0.25">
      <c r="A1" s="57" t="s">
        <v>3</v>
      </c>
      <c r="B1" s="57"/>
      <c r="C1" s="57"/>
    </row>
    <row r="2" spans="1:7" ht="32" customHeight="1" thickBot="1" x14ac:dyDescent="0.25">
      <c r="A2" s="2" t="s">
        <v>4</v>
      </c>
      <c r="B2" s="3" t="s">
        <v>5</v>
      </c>
      <c r="C2" s="4" t="s">
        <v>6</v>
      </c>
    </row>
    <row r="3" spans="1:7" x14ac:dyDescent="0.2">
      <c r="A3" s="8" t="s">
        <v>9</v>
      </c>
      <c r="B3" s="6">
        <v>1.0820000000000001</v>
      </c>
      <c r="C3" s="7">
        <v>206</v>
      </c>
    </row>
    <row r="4" spans="1:7" ht="32" x14ac:dyDescent="0.2">
      <c r="A4" s="9" t="s">
        <v>10</v>
      </c>
      <c r="B4" s="6">
        <v>1.0840000000000001</v>
      </c>
      <c r="C4" s="7">
        <v>260</v>
      </c>
      <c r="E4" s="1">
        <f>+B4/1000</f>
        <v>1.0840000000000001E-3</v>
      </c>
      <c r="F4" s="1">
        <f>+E4*150</f>
        <v>0.16260000000000002</v>
      </c>
      <c r="G4" s="1">
        <f>+C4*0.15</f>
        <v>39</v>
      </c>
    </row>
    <row r="5" spans="1:7" x14ac:dyDescent="0.2">
      <c r="A5" s="5" t="s">
        <v>11</v>
      </c>
      <c r="B5" s="6">
        <v>0.99399999999999999</v>
      </c>
      <c r="C5" s="7">
        <v>118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0080-6DDF-D349-B2F8-F8AF45D0897D}">
  <dimension ref="A1:C2"/>
  <sheetViews>
    <sheetView workbookViewId="0">
      <selection activeCell="E30" sqref="E30"/>
    </sheetView>
  </sheetViews>
  <sheetFormatPr baseColWidth="10" defaultRowHeight="16" x14ac:dyDescent="0.2"/>
  <sheetData>
    <row r="1" spans="1:3" ht="17" x14ac:dyDescent="0.2">
      <c r="A1" s="58" t="s">
        <v>7</v>
      </c>
      <c r="B1" s="58"/>
      <c r="C1" s="1">
        <v>0.25</v>
      </c>
    </row>
    <row r="2" spans="1:3" ht="17" x14ac:dyDescent="0.2">
      <c r="A2" s="58" t="s">
        <v>8</v>
      </c>
      <c r="B2" s="58"/>
      <c r="C2" s="1">
        <v>0.6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</vt:lpstr>
      <vt:lpstr>Per m weight</vt:lpstr>
      <vt:lpstr>Coating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2024-06-26T06:50:13Z</dcterms:created>
  <dcterms:modified xsi:type="dcterms:W3CDTF">2026-03-14T05:46:02Z</dcterms:modified>
</cp:coreProperties>
</file>