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offer-generator-test/louvers/files/reference_xls/price_xls/"/>
    </mc:Choice>
  </mc:AlternateContent>
  <xr:revisionPtr revIDLastSave="0" documentId="13_ncr:1_{5398B653-E624-E045-999E-4F7C5EA15DA4}" xr6:coauthVersionLast="47" xr6:coauthVersionMax="47" xr10:uidLastSave="{00000000-0000-0000-0000-000000000000}"/>
  <bookViews>
    <workbookView xWindow="0" yWindow="660" windowWidth="28800" windowHeight="15940" xr2:uid="{C496E742-E4DE-5F45-8BA5-297BA30B28EC}"/>
  </bookViews>
  <sheets>
    <sheet name="Price" sheetId="1" r:id="rId1"/>
    <sheet name="Per m we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G2" i="1" s="1"/>
  <c r="C3" i="1"/>
  <c r="C4" i="2"/>
  <c r="C2" i="1"/>
  <c r="F2" i="1" s="1"/>
  <c r="E2" i="1" s="1"/>
  <c r="F3" i="1" l="1"/>
  <c r="E3" i="1" s="1"/>
  <c r="G3" i="1"/>
  <c r="I2" i="1"/>
  <c r="H2" i="1" s="1"/>
  <c r="B2" i="1"/>
  <c r="B4" i="1" s="1"/>
  <c r="B3" i="1"/>
  <c r="I3" i="1"/>
  <c r="I4" i="1" s="1"/>
  <c r="C4" i="1"/>
  <c r="J2" i="1" l="1"/>
  <c r="J3" i="1"/>
  <c r="H3" i="1"/>
  <c r="H4" i="1"/>
  <c r="E4" i="1"/>
  <c r="F4" i="1"/>
</calcChain>
</file>

<file path=xl/sharedStrings.xml><?xml version="1.0" encoding="utf-8"?>
<sst xmlns="http://schemas.openxmlformats.org/spreadsheetml/2006/main" count="21" uniqueCount="21">
  <si>
    <t>Product</t>
  </si>
  <si>
    <t>Pitch</t>
  </si>
  <si>
    <t>Carrier</t>
  </si>
  <si>
    <t>Correct Weight 2020</t>
  </si>
  <si>
    <t>Product Description</t>
  </si>
  <si>
    <t>Weight (kg/m)</t>
  </si>
  <si>
    <t>Perimeter (mm)</t>
  </si>
  <si>
    <t>30x60 Profile</t>
  </si>
  <si>
    <t>30x60 Carrier</t>
  </si>
  <si>
    <t>Powder Coating (/ft2)</t>
  </si>
  <si>
    <t>Powder Coating (/m2)</t>
  </si>
  <si>
    <t>Powder Coating (/m)</t>
  </si>
  <si>
    <t>Conversion Rate</t>
  </si>
  <si>
    <t>Total Rate</t>
  </si>
  <si>
    <t>Mill (/m2)</t>
  </si>
  <si>
    <t>Mill (/m)</t>
  </si>
  <si>
    <t>PVDF (/ft2)</t>
  </si>
  <si>
    <t>PVDF (/m2)</t>
  </si>
  <si>
    <t>PVDF (/m)</t>
  </si>
  <si>
    <t>Mill (₹/ft2)</t>
  </si>
  <si>
    <t>30x60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</si>
</sst>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2" fillId="0" borderId="0" xfId="1"/>
    <xf numFmtId="0" fontId="1" fillId="0" borderId="1" xfId="1" applyFont="1" applyBorder="1" applyAlignment="1">
      <alignment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0" fillId="5" borderId="8" xfId="0" applyNumberFormat="1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" fontId="3" fillId="5" borderId="15" xfId="0" applyNumberFormat="1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/>
    </xf>
    <xf numFmtId="1" fontId="3" fillId="5" borderId="3" xfId="0" applyNumberFormat="1" applyFont="1" applyFill="1" applyBorder="1" applyAlignment="1">
      <alignment horizontal="center"/>
    </xf>
    <xf numFmtId="0" fontId="0" fillId="2" borderId="8" xfId="0" applyFill="1" applyBorder="1"/>
    <xf numFmtId="0" fontId="0" fillId="2" borderId="8" xfId="0" applyFill="1" applyBorder="1" applyAlignment="1">
      <alignment horizontal="center" vertical="center"/>
    </xf>
    <xf numFmtId="0" fontId="0" fillId="6" borderId="18" xfId="0" applyFill="1" applyBorder="1"/>
    <xf numFmtId="0" fontId="0" fillId="6" borderId="19" xfId="0" applyFill="1" applyBorder="1"/>
    <xf numFmtId="0" fontId="2" fillId="0" borderId="20" xfId="1" applyBorder="1" applyAlignment="1">
      <alignment horizontal="center"/>
    </xf>
  </cellXfs>
  <cellStyles count="2">
    <cellStyle name="Normal" xfId="0" builtinId="0"/>
    <cellStyle name="Normal 2" xfId="1" xr:uid="{AED680E4-B004-ED42-A6AC-9195F95E3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3CE9-11CC-C84C-8787-681C8F2E3145}">
  <dimension ref="A1:J7"/>
  <sheetViews>
    <sheetView tabSelected="1" zoomScale="136" workbookViewId="0">
      <selection activeCell="A8" sqref="A8"/>
    </sheetView>
  </sheetViews>
  <sheetFormatPr baseColWidth="10" defaultRowHeight="16" x14ac:dyDescent="0.2"/>
  <cols>
    <col min="1" max="1" width="13.83203125" style="7" bestFit="1" customWidth="1"/>
    <col min="2" max="2" width="12.1640625" style="7" bestFit="1" customWidth="1"/>
    <col min="3" max="3" width="13.1640625" style="7" bestFit="1" customWidth="1"/>
    <col min="4" max="4" width="12.1640625" style="7" bestFit="1" customWidth="1"/>
    <col min="5" max="5" width="18.5" style="7" bestFit="1" customWidth="1"/>
    <col min="6" max="6" width="19.33203125" style="7" bestFit="1" customWidth="1"/>
    <col min="7" max="7" width="18.33203125" style="7" bestFit="1" customWidth="1"/>
    <col min="8" max="8" width="10.5" style="7" bestFit="1" customWidth="1"/>
    <col min="9" max="9" width="11.6640625" style="7" customWidth="1"/>
    <col min="10" max="10" width="10.6640625" style="7" customWidth="1"/>
    <col min="11" max="16384" width="10.83203125" style="7"/>
  </cols>
  <sheetData>
    <row r="1" spans="1:10" ht="17" thickBot="1" x14ac:dyDescent="0.25">
      <c r="A1" s="20" t="s">
        <v>0</v>
      </c>
      <c r="B1" s="11" t="s">
        <v>19</v>
      </c>
      <c r="C1" s="12" t="s">
        <v>14</v>
      </c>
      <c r="D1" s="13" t="s">
        <v>15</v>
      </c>
      <c r="E1" s="14" t="s">
        <v>9</v>
      </c>
      <c r="F1" s="15" t="s">
        <v>10</v>
      </c>
      <c r="G1" s="16" t="s">
        <v>11</v>
      </c>
      <c r="H1" s="17" t="s">
        <v>16</v>
      </c>
      <c r="I1" s="18" t="s">
        <v>17</v>
      </c>
      <c r="J1" s="19" t="s">
        <v>18</v>
      </c>
    </row>
    <row r="2" spans="1:10" x14ac:dyDescent="0.2">
      <c r="A2" s="51" t="s">
        <v>20</v>
      </c>
      <c r="B2" s="22" t="e">
        <f>C2/10.76391</f>
        <v>#DIV/0!</v>
      </c>
      <c r="C2" s="23" t="e">
        <f>((1000/B7)*'Per m weight'!B3)*A7</f>
        <v>#DIV/0!</v>
      </c>
      <c r="D2" s="24">
        <f>+A7*'Per m weight'!B3</f>
        <v>618.75</v>
      </c>
      <c r="E2" s="31" t="e">
        <f>F2/10.76391</f>
        <v>#DIV/0!</v>
      </c>
      <c r="F2" s="32" t="e">
        <f>C2+(((('Per m weight'!C3*0.03937)*39.37)*(1000/B7))*0.4)</f>
        <v>#DIV/0!</v>
      </c>
      <c r="G2" s="33">
        <f>+D2+((('Per m weight'!C3/25.4)*39.3701)*0.4)</f>
        <v>730.35028346456693</v>
      </c>
      <c r="H2" s="40" t="e">
        <f>I2/10.76391</f>
        <v>#DIV/0!</v>
      </c>
      <c r="I2" s="41" t="e">
        <f>C2+(((('Per m weight'!C3*0.03937)*39.37)*(1000/B7))*0.7)</f>
        <v>#DIV/0!</v>
      </c>
      <c r="J2" s="42" t="e">
        <f>I2/(1000/B7)</f>
        <v>#DIV/0!</v>
      </c>
    </row>
    <row r="3" spans="1:10" ht="17" thickBot="1" x14ac:dyDescent="0.25">
      <c r="A3" s="52" t="s">
        <v>2</v>
      </c>
      <c r="B3" s="25" t="e">
        <f>C3/10.76391</f>
        <v>#DIV/0!</v>
      </c>
      <c r="C3" s="26" t="e">
        <f>((1000/B7)*'Per m weight'!B4)*A7</f>
        <v>#DIV/0!</v>
      </c>
      <c r="D3" s="27">
        <f>+A7*'Per m weight'!B4</f>
        <v>214.5</v>
      </c>
      <c r="E3" s="34" t="e">
        <f>F3/10.76391</f>
        <v>#DIV/0!</v>
      </c>
      <c r="F3" s="35" t="e">
        <f>C3+(((('Per m weight'!C4*0.03937)*39.37)*(1000/B7))*0.4)</f>
        <v>#DIV/0!</v>
      </c>
      <c r="G3" s="36">
        <f>+D3+((('Per m weight'!C4/25.4)*39.3701)*0.4)</f>
        <v>253.25009842519685</v>
      </c>
      <c r="H3" s="43" t="e">
        <f>I3/10.76391</f>
        <v>#DIV/0!</v>
      </c>
      <c r="I3" s="44" t="e">
        <f>C3+(((('Per m weight'!C4*0.03937)*39.37)*(1000/B7))*0.7)</f>
        <v>#DIV/0!</v>
      </c>
      <c r="J3" s="45" t="e">
        <f>I3/(1000/B7)</f>
        <v>#DIV/0!</v>
      </c>
    </row>
    <row r="4" spans="1:10" s="10" customFormat="1" ht="17" thickBot="1" x14ac:dyDescent="0.25">
      <c r="A4" s="21" t="s">
        <v>13</v>
      </c>
      <c r="B4" s="28" t="e">
        <f>SUM(B2:B3)</f>
        <v>#DIV/0!</v>
      </c>
      <c r="C4" s="29" t="e">
        <f>SUM(C2:C3)</f>
        <v>#DIV/0!</v>
      </c>
      <c r="D4" s="30"/>
      <c r="E4" s="37" t="e">
        <f>SUM(E2:E3)</f>
        <v>#DIV/0!</v>
      </c>
      <c r="F4" s="38" t="e">
        <f>SUM(F2:F3)</f>
        <v>#DIV/0!</v>
      </c>
      <c r="G4" s="39"/>
      <c r="H4" s="46" t="e">
        <f>SUM(H2:H3)</f>
        <v>#DIV/0!</v>
      </c>
      <c r="I4" s="47" t="e">
        <f>SUM(I2:I3)</f>
        <v>#DIV/0!</v>
      </c>
      <c r="J4" s="48"/>
    </row>
    <row r="5" spans="1:10" ht="17" thickBot="1" x14ac:dyDescent="0.25"/>
    <row r="6" spans="1:10" x14ac:dyDescent="0.2">
      <c r="A6" s="5" t="s">
        <v>12</v>
      </c>
      <c r="B6" s="6" t="s">
        <v>1</v>
      </c>
    </row>
    <row r="7" spans="1:10" ht="17" thickBot="1" x14ac:dyDescent="0.25">
      <c r="A7" s="8">
        <v>825</v>
      </c>
      <c r="B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88C-AA95-5D45-B9C6-156005816805}">
  <dimension ref="A1:D4"/>
  <sheetViews>
    <sheetView zoomScaleNormal="100" workbookViewId="0">
      <selection activeCell="D3" sqref="D3:D4"/>
    </sheetView>
  </sheetViews>
  <sheetFormatPr baseColWidth="10" defaultColWidth="8.6640625" defaultRowHeight="15" x14ac:dyDescent="0.2"/>
  <cols>
    <col min="1" max="1" width="47.33203125" style="1" bestFit="1" customWidth="1"/>
    <col min="2" max="2" width="7.5" style="1" bestFit="1" customWidth="1"/>
    <col min="3" max="3" width="10" style="1" bestFit="1" customWidth="1"/>
    <col min="4" max="4" width="17.6640625" style="1" bestFit="1" customWidth="1"/>
    <col min="5" max="6" width="13.6640625" style="1" customWidth="1"/>
    <col min="7" max="16384" width="8.6640625" style="1"/>
  </cols>
  <sheetData>
    <row r="1" spans="1:4" ht="16" thickBot="1" x14ac:dyDescent="0.25">
      <c r="A1" s="53" t="s">
        <v>3</v>
      </c>
      <c r="B1" s="53"/>
      <c r="C1" s="53"/>
    </row>
    <row r="2" spans="1:4" ht="32" customHeight="1" thickBot="1" x14ac:dyDescent="0.25">
      <c r="A2" s="2" t="s">
        <v>4</v>
      </c>
      <c r="B2" s="3" t="s">
        <v>5</v>
      </c>
      <c r="C2" s="4" t="s">
        <v>6</v>
      </c>
    </row>
    <row r="3" spans="1:4" ht="16" x14ac:dyDescent="0.2">
      <c r="A3" s="49" t="s">
        <v>7</v>
      </c>
      <c r="B3" s="49">
        <v>0.75</v>
      </c>
      <c r="C3" s="50">
        <v>180</v>
      </c>
      <c r="D3">
        <v>150</v>
      </c>
    </row>
    <row r="4" spans="1:4" ht="16" x14ac:dyDescent="0.2">
      <c r="A4" s="49" t="s">
        <v>8</v>
      </c>
      <c r="B4" s="49">
        <v>0.26</v>
      </c>
      <c r="C4" s="50">
        <f>D4+(D4*0.25)</f>
        <v>62.5</v>
      </c>
      <c r="D4">
        <v>50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Per m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2024-06-26T06:50:13Z</dcterms:created>
  <dcterms:modified xsi:type="dcterms:W3CDTF">2026-03-14T05:47:15Z</dcterms:modified>
</cp:coreProperties>
</file>