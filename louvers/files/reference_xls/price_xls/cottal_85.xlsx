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8323B648-4F43-4F4A-B70B-7F1D8DC8D1CA}" xr6:coauthVersionLast="47" xr6:coauthVersionMax="47" xr10:uidLastSave="{00000000-0000-0000-0000-000000000000}"/>
  <bookViews>
    <workbookView xWindow="0" yWindow="660" windowWidth="30240" windowHeight="1766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G2" i="1"/>
  <c r="D2" i="1"/>
</calcChain>
</file>

<file path=xl/sharedStrings.xml><?xml version="1.0" encoding="utf-8"?>
<sst xmlns="http://schemas.openxmlformats.org/spreadsheetml/2006/main" count="20" uniqueCount="20">
  <si>
    <t>Product</t>
  </si>
  <si>
    <t>Pitch</t>
  </si>
  <si>
    <t>Correct Weight 2020</t>
  </si>
  <si>
    <t>Product Description</t>
  </si>
  <si>
    <t>Weight (kg/m)</t>
  </si>
  <si>
    <t>Perimeter (mm)</t>
  </si>
  <si>
    <t>Single side coating</t>
  </si>
  <si>
    <t>Conversion Rate</t>
  </si>
  <si>
    <t>Profile</t>
  </si>
  <si>
    <t>Total Rate (₹)</t>
  </si>
  <si>
    <t>Mill Finish (₹/ft2)</t>
  </si>
  <si>
    <t>Mill Finish (₹/m2)</t>
  </si>
  <si>
    <t>Mill Finish (₹/m)</t>
  </si>
  <si>
    <t>Powder Coating (₹/ft2)</t>
  </si>
  <si>
    <t>PVDF (₹/ft2)</t>
  </si>
  <si>
    <t>Powder Coating (₹/m2)</t>
  </si>
  <si>
    <t>PVDF (₹/m2)</t>
  </si>
  <si>
    <t>Powder Coating (₹/m)</t>
  </si>
  <si>
    <t>PVDF (₹/m)</t>
  </si>
  <si>
    <t>Cottal 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</si>
</sst>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2">
    <xf numFmtId="0" fontId="0" fillId="0" borderId="0" xfId="0"/>
    <xf numFmtId="0" fontId="2" fillId="0" borderId="5" xfId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1" fontId="1" fillId="2" borderId="11" xfId="0" applyNumberFormat="1" applyFont="1" applyFill="1" applyBorder="1" applyAlignment="1">
      <alignment horizontal="center" vertical="center"/>
    </xf>
    <xf numFmtId="1" fontId="1" fillId="2" borderId="13" xfId="0" applyNumberFormat="1" applyFont="1" applyFill="1" applyBorder="1" applyAlignment="1">
      <alignment horizontal="center" vertical="center"/>
    </xf>
    <xf numFmtId="1" fontId="1" fillId="3" borderId="12" xfId="0" applyNumberFormat="1" applyFont="1" applyFill="1" applyBorder="1" applyAlignment="1">
      <alignment horizontal="center" vertical="center"/>
    </xf>
    <xf numFmtId="1" fontId="1" fillId="4" borderId="11" xfId="0" applyNumberFormat="1" applyFont="1" applyFill="1" applyBorder="1" applyAlignment="1">
      <alignment horizontal="center" vertical="center"/>
    </xf>
    <xf numFmtId="1" fontId="1" fillId="4" borderId="12" xfId="0" applyNumberFormat="1" applyFont="1" applyFill="1" applyBorder="1" applyAlignment="1">
      <alignment horizontal="center" vertical="center"/>
    </xf>
    <xf numFmtId="1" fontId="1" fillId="4" borderId="13" xfId="0" applyNumberFormat="1" applyFont="1" applyFill="1" applyBorder="1" applyAlignment="1">
      <alignment horizontal="center" vertical="center"/>
    </xf>
    <xf numFmtId="1" fontId="1" fillId="3" borderId="11" xfId="0" applyNumberFormat="1" applyFont="1" applyFill="1" applyBorder="1" applyAlignment="1">
      <alignment horizontal="center" vertical="center"/>
    </xf>
    <xf numFmtId="1" fontId="1" fillId="3" borderId="13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16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0" fillId="3" borderId="15" xfId="0" applyNumberFormat="1" applyFill="1" applyBorder="1" applyAlignment="1">
      <alignment horizontal="center" vertical="center"/>
    </xf>
    <xf numFmtId="1" fontId="0" fillId="3" borderId="16" xfId="0" applyNumberFormat="1" applyFill="1" applyBorder="1" applyAlignment="1">
      <alignment horizontal="center" vertical="center"/>
    </xf>
    <xf numFmtId="1" fontId="0" fillId="3" borderId="17" xfId="0" applyNumberFormat="1" applyFill="1" applyBorder="1" applyAlignment="1">
      <alignment horizontal="center" vertical="center"/>
    </xf>
    <xf numFmtId="1" fontId="0" fillId="4" borderId="15" xfId="0" applyNumberFormat="1" applyFill="1" applyBorder="1" applyAlignment="1">
      <alignment horizontal="center" vertical="center"/>
    </xf>
    <xf numFmtId="1" fontId="0" fillId="4" borderId="16" xfId="0" applyNumberFormat="1" applyFill="1" applyBorder="1" applyAlignment="1">
      <alignment horizontal="center" vertical="center"/>
    </xf>
    <xf numFmtId="1" fontId="0" fillId="4" borderId="17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2" fontId="0" fillId="0" borderId="5" xfId="0" applyNumberFormat="1" applyBorder="1" applyAlignment="1">
      <alignment horizontal="center" vertical="center"/>
    </xf>
    <xf numFmtId="0" fontId="2" fillId="0" borderId="0" xfId="1"/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1" fillId="0" borderId="4" xfId="1" applyFont="1" applyBorder="1" applyAlignment="1">
      <alignment vertical="center" wrapText="1"/>
    </xf>
    <xf numFmtId="0" fontId="1" fillId="0" borderId="4" xfId="1" applyFont="1" applyBorder="1" applyAlignment="1">
      <alignment horizontal="center" vertical="center" wrapText="1"/>
    </xf>
    <xf numFmtId="0" fontId="2" fillId="0" borderId="18" xfId="1" applyBorder="1" applyAlignment="1">
      <alignment horizontal="center"/>
    </xf>
    <xf numFmtId="0" fontId="2" fillId="0" borderId="19" xfId="1" applyBorder="1" applyAlignment="1">
      <alignment horizontal="center"/>
    </xf>
    <xf numFmtId="0" fontId="2" fillId="0" borderId="20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6"/>
  <sheetViews>
    <sheetView tabSelected="1" zoomScale="162" workbookViewId="0">
      <selection activeCell="H18" sqref="H18"/>
    </sheetView>
  </sheetViews>
  <sheetFormatPr baseColWidth="10" defaultRowHeight="16" x14ac:dyDescent="0.2"/>
  <cols>
    <col min="1" max="1" width="13.83203125" style="4" bestFit="1" customWidth="1"/>
    <col min="2" max="2" width="14" style="4" bestFit="1" customWidth="1"/>
    <col min="3" max="3" width="14.33203125" style="4" bestFit="1" customWidth="1"/>
    <col min="4" max="4" width="13.33203125" style="4" bestFit="1" customWidth="1"/>
    <col min="5" max="5" width="18.33203125" style="4" bestFit="1" customWidth="1"/>
    <col min="6" max="6" width="18.6640625" style="4" bestFit="1" customWidth="1"/>
    <col min="7" max="7" width="17.83203125" style="4" bestFit="1" customWidth="1"/>
    <col min="8" max="8" width="10.33203125" style="4" bestFit="1" customWidth="1"/>
    <col min="9" max="9" width="10.6640625" style="4" bestFit="1" customWidth="1"/>
    <col min="10" max="10" width="9.6640625" style="4" bestFit="1" customWidth="1"/>
    <col min="11" max="16384" width="10.83203125" style="4"/>
  </cols>
  <sheetData>
    <row r="1" spans="1:10" ht="17" thickBot="1" x14ac:dyDescent="0.25">
      <c r="A1" s="17" t="s">
        <v>0</v>
      </c>
      <c r="B1" s="27" t="s">
        <v>10</v>
      </c>
      <c r="C1" s="28" t="s">
        <v>11</v>
      </c>
      <c r="D1" s="28" t="s">
        <v>12</v>
      </c>
      <c r="E1" s="29" t="s">
        <v>13</v>
      </c>
      <c r="F1" s="29" t="s">
        <v>15</v>
      </c>
      <c r="G1" s="29" t="s">
        <v>17</v>
      </c>
      <c r="H1" s="30" t="s">
        <v>14</v>
      </c>
      <c r="I1" s="30" t="s">
        <v>16</v>
      </c>
      <c r="J1" s="31" t="s">
        <v>18</v>
      </c>
    </row>
    <row r="2" spans="1:10" ht="17" thickBot="1" x14ac:dyDescent="0.25">
      <c r="A2" s="8" t="s">
        <v>8</v>
      </c>
      <c r="B2" s="18">
        <v>913.00000000000011</v>
      </c>
      <c r="C2" s="19">
        <v>9669</v>
      </c>
      <c r="D2" s="20">
        <f>CEILING(1.27*623, 10)</f>
        <v>800</v>
      </c>
      <c r="E2" s="21">
        <v>1056</v>
      </c>
      <c r="F2" s="22">
        <v>11187</v>
      </c>
      <c r="G2" s="23">
        <f>CEILING(1.27*692, 10)</f>
        <v>880</v>
      </c>
      <c r="H2" s="24">
        <v>1166</v>
      </c>
      <c r="I2" s="25">
        <v>12397.000000000002</v>
      </c>
      <c r="J2" s="26">
        <f>CEILING(1.27*790, 10)</f>
        <v>1010</v>
      </c>
    </row>
    <row r="3" spans="1:10" ht="17" thickBot="1" x14ac:dyDescent="0.25">
      <c r="A3" s="7" t="s">
        <v>9</v>
      </c>
      <c r="B3" s="9">
        <v>913.00000000000011</v>
      </c>
      <c r="C3" s="9">
        <v>9669</v>
      </c>
      <c r="D3" s="10"/>
      <c r="E3" s="15">
        <v>1056</v>
      </c>
      <c r="F3" s="11">
        <v>11187</v>
      </c>
      <c r="G3" s="16"/>
      <c r="H3" s="12">
        <v>1166</v>
      </c>
      <c r="I3" s="13">
        <v>12397.000000000002</v>
      </c>
      <c r="J3" s="14"/>
    </row>
    <row r="4" spans="1:10" ht="17" thickBot="1" x14ac:dyDescent="0.25"/>
    <row r="5" spans="1:10" x14ac:dyDescent="0.2">
      <c r="A5" s="2" t="s">
        <v>7</v>
      </c>
      <c r="B5" s="3" t="s">
        <v>1</v>
      </c>
    </row>
    <row r="6" spans="1:10" ht="17" thickBot="1" x14ac:dyDescent="0.25">
      <c r="A6" s="5">
        <v>750</v>
      </c>
      <c r="B6" s="6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E3"/>
  <sheetViews>
    <sheetView zoomScale="269" zoomScaleNormal="100" workbookViewId="0">
      <selection activeCell="A7" sqref="A7"/>
    </sheetView>
  </sheetViews>
  <sheetFormatPr baseColWidth="10" defaultColWidth="8.6640625" defaultRowHeight="15" x14ac:dyDescent="0.2"/>
  <cols>
    <col min="1" max="1" width="47.33203125" style="33" bestFit="1" customWidth="1"/>
    <col min="2" max="2" width="7.5" style="33" bestFit="1" customWidth="1"/>
    <col min="3" max="3" width="10" style="33" bestFit="1" customWidth="1"/>
    <col min="4" max="4" width="17.6640625" style="33" bestFit="1" customWidth="1"/>
    <col min="5" max="6" width="13.6640625" style="33" customWidth="1"/>
    <col min="7" max="16384" width="8.6640625" style="33"/>
  </cols>
  <sheetData>
    <row r="1" spans="1:5" ht="16" thickBot="1" x14ac:dyDescent="0.25">
      <c r="A1" s="39" t="s">
        <v>2</v>
      </c>
      <c r="B1" s="40"/>
      <c r="C1" s="41"/>
    </row>
    <row r="2" spans="1:5" ht="32" customHeight="1" x14ac:dyDescent="0.2">
      <c r="A2" s="37" t="s">
        <v>3</v>
      </c>
      <c r="B2" s="38" t="s">
        <v>4</v>
      </c>
      <c r="C2" s="38" t="s">
        <v>5</v>
      </c>
    </row>
    <row r="3" spans="1:5" ht="16" x14ac:dyDescent="0.2">
      <c r="A3" s="1" t="s">
        <v>19</v>
      </c>
      <c r="B3" s="32">
        <v>0.83</v>
      </c>
      <c r="C3" s="36">
        <v>180</v>
      </c>
      <c r="D3" s="34" t="s">
        <v>6</v>
      </c>
      <c r="E3" s="35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2026-03-14T05:50:15Z</dcterms:modified>
</cp:coreProperties>
</file>