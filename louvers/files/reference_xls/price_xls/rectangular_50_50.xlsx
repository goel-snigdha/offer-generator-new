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90E33C5C-C3F1-EA46-8CA0-4CCC672E0BA3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F2" i="1" s="1"/>
  <c r="E2" i="1" s="1"/>
  <c r="C4" i="2"/>
  <c r="D2" i="1"/>
  <c r="G2" i="1" s="1"/>
  <c r="F3" i="1" l="1"/>
  <c r="E3" i="1" s="1"/>
  <c r="I2" i="1"/>
  <c r="B2" i="1"/>
  <c r="B4" i="1" s="1"/>
  <c r="B3" i="1"/>
  <c r="G3" i="1"/>
  <c r="I3" i="1"/>
  <c r="J2" i="1"/>
  <c r="C4" i="1"/>
  <c r="I4" i="1"/>
  <c r="H2" i="1" l="1"/>
  <c r="H3" i="1"/>
  <c r="J3" i="1"/>
  <c r="H4" i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<sst xmlns="http://schemas.openxmlformats.org/spreadsheetml/2006/main" count="21" uniqueCount="21">
  <si>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</si>
  <si>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</si>
  <si>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</si>
  <si>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</si>
  <si>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</si>
  <si>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</si>
  <si>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</si>
  <si>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50x50 Profile</t>
  </si>
  <si>
    <t>50x50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</si>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</sst>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0" fillId="5" borderId="14" xfId="0" applyNumberFormat="1" applyFill="1" applyBorder="1" applyAlignment="1">
      <alignment horizontal="center"/>
    </xf>
    <xf numFmtId="1" fontId="0" fillId="5" borderId="4" xfId="0" applyNumberForma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1" fontId="0" fillId="5" borderId="15" xfId="0" applyNumberFormat="1" applyFill="1" applyBorder="1" applyAlignment="1">
      <alignment horizontal="center"/>
    </xf>
    <xf numFmtId="1" fontId="0" fillId="5" borderId="6" xfId="0" applyNumberFormat="1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" fontId="3" fillId="5" borderId="1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6" xfId="0" applyFill="1" applyBorder="1"/>
    <xf numFmtId="0" fontId="0" fillId="2" borderId="6" xfId="0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1" fontId="0" fillId="3" borderId="16" xfId="0" applyNumberForma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20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17" t="s">
        <v>16</v>
      </c>
      <c r="I1" s="18" t="s">
        <v>17</v>
      </c>
      <c r="J1" s="19" t="s">
        <v>18</v>
      </c>
    </row>
    <row r="2" spans="1:10" ht="17" thickBot="1" x14ac:dyDescent="0.25">
      <c r="A2" s="47" t="s">
        <v>20</v>
      </c>
      <c r="B2" s="49" t="e">
        <f>C2/10.76391</f>
        <v>#DIV/0!</v>
      </c>
      <c r="C2" s="22" t="e">
        <f>((1000/B7)*0.861)*A7</f>
        <v>#DIV/0!</v>
      </c>
      <c r="D2" s="23">
        <f>+A7*0.861</f>
        <v>710.32500000000005</v>
      </c>
      <c r="E2" s="50" t="e">
        <f>F2/10.76391</f>
        <v>#DIV/0!</v>
      </c>
      <c r="F2" s="29" t="e">
        <f>C2+(((('Per m weight'!C3*0.03937)*39.37)*(1000/B7))*0.4)</f>
        <v>#DIV/0!</v>
      </c>
      <c r="G2" s="30">
        <f>+D2+((('Per m weight'!C3/25.4)*39.3701)*0.4)</f>
        <v>834.32531496062995</v>
      </c>
      <c r="H2" s="36" t="e">
        <f>I2/10.76391</f>
        <v>#DIV/0!</v>
      </c>
      <c r="I2" s="37" t="e">
        <f>C2+(((('Per m weight'!C3*0.03937)*39.37)*(1000/B7))*0.7)</f>
        <v>#DIV/0!</v>
      </c>
      <c r="J2" s="38" t="e">
        <f>I2/(1000/B7)</f>
        <v>#DIV/0!</v>
      </c>
    </row>
    <row r="3" spans="1:10" ht="17" thickBot="1" x14ac:dyDescent="0.25">
      <c r="A3" s="48" t="s">
        <v>2</v>
      </c>
      <c r="B3" s="49" t="e">
        <f>C3/10.76391</f>
        <v>#DIV/0!</v>
      </c>
      <c r="C3" s="24" t="e">
        <f>((1000/B7)*0.397)*A7</f>
        <v>#DIV/0!</v>
      </c>
      <c r="D3" s="25">
        <f>+A7*0.397</f>
        <v>327.52500000000003</v>
      </c>
      <c r="E3" s="50" t="e">
        <f>F3/10.76391</f>
        <v>#DIV/0!</v>
      </c>
      <c r="F3" s="31" t="e">
        <f>C3+(((('Per m weight'!C4*0.03937)*39.37)*(1000/B7))*0.4)</f>
        <v>#DIV/0!</v>
      </c>
      <c r="G3" s="32">
        <f>+D3+((('Per m weight'!C4/25.4)*39.3701)*0.4)</f>
        <v>428.27525590551187</v>
      </c>
      <c r="H3" s="39" t="e">
        <f>I3/10.76391</f>
        <v>#DIV/0!</v>
      </c>
      <c r="I3" s="40" t="e">
        <f>C3+(((('Per m weight'!C4*0.03937)*39.37)*(1000/B7))*0.7)</f>
        <v>#DIV/0!</v>
      </c>
      <c r="J3" s="41" t="e">
        <f>I3/(1000/B7)</f>
        <v>#DIV/0!</v>
      </c>
    </row>
    <row r="4" spans="1:10" s="10" customFormat="1" ht="17" thickBot="1" x14ac:dyDescent="0.25">
      <c r="A4" s="21" t="s">
        <v>13</v>
      </c>
      <c r="B4" s="26" t="e">
        <f>SUM(B2:B3)</f>
        <v>#DIV/0!</v>
      </c>
      <c r="C4" s="27" t="e">
        <f>SUM(C2:C3)</f>
        <v>#DIV/0!</v>
      </c>
      <c r="D4" s="28"/>
      <c r="E4" s="33" t="e">
        <f>SUM(E2:E3)</f>
        <v>#DIV/0!</v>
      </c>
      <c r="F4" s="34" t="e">
        <f>SUM(F2:F3)</f>
        <v>#DIV/0!</v>
      </c>
      <c r="G4" s="35"/>
      <c r="H4" s="42" t="e">
        <f>SUM(H2:H3)</f>
        <v>#DIV/0!</v>
      </c>
      <c r="I4" s="43" t="e">
        <f>SUM(I2:I3)</f>
        <v>#DIV/0!</v>
      </c>
      <c r="J4" s="44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825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="166" zoomScaleNormal="100" workbookViewId="0">
      <selection sqref="A1:C1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1" t="s">
        <v>3</v>
      </c>
      <c r="B1" s="51"/>
      <c r="C1" s="51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45" t="s">
        <v>7</v>
      </c>
      <c r="B3" s="45"/>
      <c r="C3" s="46">
        <v>200</v>
      </c>
      <c r="D3">
        <v>150</v>
      </c>
    </row>
    <row r="4" spans="1:4" ht="16" x14ac:dyDescent="0.2">
      <c r="A4" s="45" t="s">
        <v>8</v>
      </c>
      <c r="B4" s="45"/>
      <c r="C4" s="46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2026-03-14T05:47:23Z</dcterms:modified>
</cp:coreProperties>
</file>