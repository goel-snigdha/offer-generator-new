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files/reference_xls/price_xls/"/>
    </mc:Choice>
  </mc:AlternateContent>
  <xr:revisionPtr revIDLastSave="0" documentId="13_ncr:1_{79A5291E-B372-2443-B527-E788262369AB}" xr6:coauthVersionLast="47" xr6:coauthVersionMax="47" xr10:uidLastSave="{00000000-0000-0000-0000-000000000000}"/>
  <bookViews>
    <workbookView xWindow="0" yWindow="660" windowWidth="28800" windowHeight="15940" xr2:uid="{C496E742-E4DE-5F45-8BA5-297BA30B28EC}"/>
  </bookViews>
  <sheets>
    <sheet name="Price" sheetId="1" r:id="rId1"/>
    <sheet name="Per m weigh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C3" i="1"/>
  <c r="C2" i="1"/>
  <c r="F2" i="1" s="1"/>
  <c r="E2" i="1" s="1"/>
  <c r="C4" i="2"/>
  <c r="D2" i="1"/>
  <c r="G2" i="1" s="1"/>
  <c r="F3" i="1" l="1"/>
  <c r="E3" i="1" s="1"/>
  <c r="I2" i="1"/>
  <c r="B2" i="1"/>
  <c r="B4" i="1" s="1"/>
  <c r="B3" i="1"/>
  <c r="G3" i="1"/>
  <c r="I3" i="1"/>
  <c r="J2" i="1"/>
  <c r="C4" i="1"/>
  <c r="I4" i="1"/>
  <c r="H2" i="1" l="1"/>
  <c r="H3" i="1"/>
  <c r="J3" i="1"/>
  <c r="H4" i="1"/>
  <c r="E4" i="1"/>
  <c r="F4" i="1"/>
</calcChain>
</file>

<file path=xl/sharedStrings.xml><?xml version="1.0" encoding="utf-8"?>
<sst xmlns="http://schemas.openxmlformats.org/spreadsheetml/2006/main" count="21" uniqueCount="21">
  <si>
    <t>Product</t>
  </si>
  <si>
    <t>Pitch</t>
  </si>
  <si>
    <t>Carrier</t>
  </si>
  <si>
    <t>Correct Weight 2020</t>
  </si>
  <si>
    <t>Product Description</t>
  </si>
  <si>
    <t>Weight (kg/m)</t>
  </si>
  <si>
    <t>Perimeter (mm)</t>
  </si>
  <si>
    <t>50x50 Profile</t>
  </si>
  <si>
    <t>50x50 Carrier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</si>
  <si>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</si>
  <si>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</si>
  <si>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</si>
  <si>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</si>
  <si>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</si>
  <si>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</si>
  <si>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</si>
  <si>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</si>
  <si>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</si>
  <si>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</si>
  <si>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Mill (₹/ft2)</t>
  </si>
  <si>
    <t>50x50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</si>
</sst>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2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center"/>
    </xf>
    <xf numFmtId="1" fontId="0" fillId="3" borderId="4" xfId="0" applyNumberFormat="1" applyFill="1" applyBorder="1" applyAlignment="1">
      <alignment horizontal="center"/>
    </xf>
    <xf numFmtId="1" fontId="0" fillId="3" borderId="5" xfId="0" applyNumberFormat="1" applyFill="1" applyBorder="1" applyAlignment="1">
      <alignment horizontal="center"/>
    </xf>
    <xf numFmtId="1" fontId="0" fillId="3" borderId="6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" fontId="3" fillId="3" borderId="1" xfId="0" applyNumberFormat="1" applyFont="1" applyFill="1" applyBorder="1" applyAlignment="1">
      <alignment horizontal="center"/>
    </xf>
    <xf numFmtId="1" fontId="3" fillId="3" borderId="2" xfId="0" applyNumberFormat="1" applyFont="1" applyFill="1" applyBorder="1" applyAlignment="1">
      <alignment horizontal="center"/>
    </xf>
    <xf numFmtId="1" fontId="3" fillId="3" borderId="3" xfId="0" applyNumberFormat="1" applyFont="1" applyFill="1" applyBorder="1" applyAlignment="1">
      <alignment horizontal="center"/>
    </xf>
    <xf numFmtId="1" fontId="0" fillId="4" borderId="4" xfId="0" applyNumberFormat="1" applyFill="1" applyBorder="1" applyAlignment="1">
      <alignment horizontal="center"/>
    </xf>
    <xf numFmtId="1" fontId="0" fillId="4" borderId="5" xfId="0" applyNumberFormat="1" applyFill="1" applyBorder="1" applyAlignment="1">
      <alignment horizontal="center"/>
    </xf>
    <xf numFmtId="1" fontId="0" fillId="4" borderId="6" xfId="0" applyNumberFormat="1" applyFill="1" applyBorder="1" applyAlignment="1">
      <alignment horizontal="center"/>
    </xf>
    <xf numFmtId="1" fontId="0" fillId="4" borderId="7" xfId="0" applyNumberFormat="1" applyFill="1" applyBorder="1" applyAlignment="1">
      <alignment horizontal="center"/>
    </xf>
    <xf numFmtId="1" fontId="3" fillId="4" borderId="1" xfId="0" applyNumberFormat="1" applyFont="1" applyFill="1" applyBorder="1" applyAlignment="1">
      <alignment horizontal="center"/>
    </xf>
    <xf numFmtId="1" fontId="3" fillId="4" borderId="2" xfId="0" applyNumberFormat="1" applyFont="1" applyFill="1" applyBorder="1" applyAlignment="1">
      <alignment horizontal="center"/>
    </xf>
    <xf numFmtId="1" fontId="3" fillId="4" borderId="3" xfId="0" applyNumberFormat="1" applyFont="1" applyFill="1" applyBorder="1" applyAlignment="1">
      <alignment horizontal="center"/>
    </xf>
    <xf numFmtId="1" fontId="0" fillId="5" borderId="14" xfId="0" applyNumberFormat="1" applyFill="1" applyBorder="1" applyAlignment="1">
      <alignment horizontal="center"/>
    </xf>
    <xf numFmtId="1" fontId="0" fillId="5" borderId="4" xfId="0" applyNumberFormat="1" applyFill="1" applyBorder="1" applyAlignment="1">
      <alignment horizontal="center"/>
    </xf>
    <xf numFmtId="1" fontId="0" fillId="5" borderId="5" xfId="0" applyNumberFormat="1" applyFill="1" applyBorder="1" applyAlignment="1">
      <alignment horizontal="center"/>
    </xf>
    <xf numFmtId="1" fontId="0" fillId="5" borderId="15" xfId="0" applyNumberFormat="1" applyFill="1" applyBorder="1" applyAlignment="1">
      <alignment horizontal="center"/>
    </xf>
    <xf numFmtId="1" fontId="0" fillId="5" borderId="6" xfId="0" applyNumberFormat="1" applyFill="1" applyBorder="1" applyAlignment="1">
      <alignment horizontal="center"/>
    </xf>
    <xf numFmtId="1" fontId="0" fillId="5" borderId="7" xfId="0" applyNumberFormat="1" applyFill="1" applyBorder="1" applyAlignment="1">
      <alignment horizontal="center"/>
    </xf>
    <xf numFmtId="1" fontId="3" fillId="5" borderId="13" xfId="0" applyNumberFormat="1" applyFont="1" applyFill="1" applyBorder="1" applyAlignment="1">
      <alignment horizontal="center"/>
    </xf>
    <xf numFmtId="1" fontId="3" fillId="5" borderId="2" xfId="0" applyNumberFormat="1" applyFont="1" applyFill="1" applyBorder="1" applyAlignment="1">
      <alignment horizontal="center"/>
    </xf>
    <xf numFmtId="1" fontId="3" fillId="5" borderId="3" xfId="0" applyNumberFormat="1" applyFont="1" applyFill="1" applyBorder="1" applyAlignment="1">
      <alignment horizontal="center"/>
    </xf>
    <xf numFmtId="0" fontId="0" fillId="2" borderId="6" xfId="0" applyFill="1" applyBorder="1"/>
    <xf numFmtId="0" fontId="0" fillId="2" borderId="6" xfId="0" applyFill="1" applyBorder="1" applyAlignment="1">
      <alignment horizontal="center" vertical="center"/>
    </xf>
    <xf numFmtId="0" fontId="0" fillId="6" borderId="16" xfId="0" applyFill="1" applyBorder="1"/>
    <xf numFmtId="0" fontId="0" fillId="6" borderId="17" xfId="0" applyFill="1" applyBorder="1"/>
    <xf numFmtId="1" fontId="0" fillId="3" borderId="16" xfId="0" applyNumberFormat="1" applyFill="1" applyBorder="1" applyAlignment="1">
      <alignment horizontal="center" vertical="center"/>
    </xf>
    <xf numFmtId="1" fontId="0" fillId="4" borderId="16" xfId="0" applyNumberFormat="1" applyFill="1" applyBorder="1" applyAlignment="1">
      <alignment horizontal="center" vertical="center"/>
    </xf>
    <xf numFmtId="0" fontId="2" fillId="0" borderId="18" xfId="1" applyBorder="1" applyAlignment="1">
      <alignment horizont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03CE9-11CC-C84C-8787-681C8F2E3145}">
  <dimension ref="A1:J7"/>
  <sheetViews>
    <sheetView tabSelected="1" zoomScale="136" workbookViewId="0">
      <selection activeCell="B7" sqref="B7"/>
    </sheetView>
  </sheetViews>
  <sheetFormatPr baseColWidth="10" defaultRowHeight="16" x14ac:dyDescent="0.2"/>
  <cols>
    <col min="1" max="1" width="13.83203125" style="7" bestFit="1" customWidth="1"/>
    <col min="2" max="2" width="12.1640625" style="7" bestFit="1" customWidth="1"/>
    <col min="3" max="3" width="13.1640625" style="7" bestFit="1" customWidth="1"/>
    <col min="4" max="4" width="12.1640625" style="7" bestFit="1" customWidth="1"/>
    <col min="5" max="5" width="18.5" style="7" bestFit="1" customWidth="1"/>
    <col min="6" max="6" width="19.33203125" style="7" bestFit="1" customWidth="1"/>
    <col min="7" max="7" width="18.33203125" style="7" bestFit="1" customWidth="1"/>
    <col min="8" max="8" width="10.5" style="7" bestFit="1" customWidth="1"/>
    <col min="9" max="9" width="11.6640625" style="7" customWidth="1"/>
    <col min="10" max="10" width="10.6640625" style="7" customWidth="1"/>
    <col min="11" max="16384" width="10.83203125" style="7"/>
  </cols>
  <sheetData>
    <row r="1" spans="1:10" ht="17" thickBot="1" x14ac:dyDescent="0.25">
      <c r="A1" s="20" t="s">
        <v>0</v>
      </c>
      <c r="B1" s="11" t="s">
        <v>19</v>
      </c>
      <c r="C1" s="12" t="s">
        <v>14</v>
      </c>
      <c r="D1" s="13" t="s">
        <v>15</v>
      </c>
      <c r="E1" s="14" t="s">
        <v>9</v>
      </c>
      <c r="F1" s="15" t="s">
        <v>10</v>
      </c>
      <c r="G1" s="16" t="s">
        <v>11</v>
      </c>
      <c r="H1" s="17" t="s">
        <v>16</v>
      </c>
      <c r="I1" s="18" t="s">
        <v>17</v>
      </c>
      <c r="J1" s="19" t="s">
        <v>18</v>
      </c>
    </row>
    <row r="2" spans="1:10" ht="17" thickBot="1" x14ac:dyDescent="0.25">
      <c r="A2" s="47" t="s">
        <v>20</v>
      </c>
      <c r="B2" s="49" t="e">
        <f>C2/10.76391</f>
        <v>#DIV/0!</v>
      </c>
      <c r="C2" s="22" t="e">
        <f>((1000/B7)*0.861)*A7</f>
        <v>#DIV/0!</v>
      </c>
      <c r="D2" s="23">
        <f>+A7*0.861</f>
        <v>645.75</v>
      </c>
      <c r="E2" s="50" t="e">
        <f>F2/10.76391</f>
        <v>#DIV/0!</v>
      </c>
      <c r="F2" s="29" t="e">
        <f>C2+(((('Per m weight'!C3*0.03937)*39.37)*(1000/B7))*0.4)</f>
        <v>#DIV/0!</v>
      </c>
      <c r="G2" s="30">
        <f>+D2+((('Per m weight'!C3/25.4)*39.3701)*0.4)</f>
        <v>769.75031496062991</v>
      </c>
      <c r="H2" s="36" t="e">
        <f>I2/10.76391</f>
        <v>#DIV/0!</v>
      </c>
      <c r="I2" s="37" t="e">
        <f>C2+(((('Per m weight'!C3*0.03937)*39.37)*(1000/B7))*0.7)</f>
        <v>#DIV/0!</v>
      </c>
      <c r="J2" s="38" t="e">
        <f>I2/(1000/B7)</f>
        <v>#DIV/0!</v>
      </c>
    </row>
    <row r="3" spans="1:10" ht="17" thickBot="1" x14ac:dyDescent="0.25">
      <c r="A3" s="48" t="s">
        <v>2</v>
      </c>
      <c r="B3" s="49" t="e">
        <f>C3/10.76391</f>
        <v>#DIV/0!</v>
      </c>
      <c r="C3" s="24" t="e">
        <f>((1000/B7)*0.397)*A7</f>
        <v>#DIV/0!</v>
      </c>
      <c r="D3" s="25">
        <f>+A7*0.397</f>
        <v>297.75</v>
      </c>
      <c r="E3" s="50" t="e">
        <f>F3/10.76391</f>
        <v>#DIV/0!</v>
      </c>
      <c r="F3" s="31" t="e">
        <f>C3+(((('Per m weight'!C4*0.03937)*39.37)*(1000/B7))*0.4)</f>
        <v>#DIV/0!</v>
      </c>
      <c r="G3" s="32">
        <f>+D3+((('Per m weight'!C4/25.4)*39.3701)*0.4)</f>
        <v>398.50025590551184</v>
      </c>
      <c r="H3" s="39" t="e">
        <f>I3/10.76391</f>
        <v>#DIV/0!</v>
      </c>
      <c r="I3" s="40" t="e">
        <f>C3+(((('Per m weight'!C4*0.03937)*39.37)*(1000/B7))*0.7)</f>
        <v>#DIV/0!</v>
      </c>
      <c r="J3" s="41" t="e">
        <f>I3/(1000/B7)</f>
        <v>#DIV/0!</v>
      </c>
    </row>
    <row r="4" spans="1:10" s="10" customFormat="1" ht="17" thickBot="1" x14ac:dyDescent="0.25">
      <c r="A4" s="21" t="s">
        <v>13</v>
      </c>
      <c r="B4" s="26" t="e">
        <f>SUM(B2:B3)</f>
        <v>#DIV/0!</v>
      </c>
      <c r="C4" s="27" t="e">
        <f>SUM(C2:C3)</f>
        <v>#DIV/0!</v>
      </c>
      <c r="D4" s="28"/>
      <c r="E4" s="33" t="e">
        <f>SUM(E2:E3)</f>
        <v>#DIV/0!</v>
      </c>
      <c r="F4" s="34" t="e">
        <f>SUM(F2:F3)</f>
        <v>#DIV/0!</v>
      </c>
      <c r="G4" s="35"/>
      <c r="H4" s="42" t="e">
        <f>SUM(H2:H3)</f>
        <v>#DIV/0!</v>
      </c>
      <c r="I4" s="43" t="e">
        <f>SUM(I2:I3)</f>
        <v>#DIV/0!</v>
      </c>
      <c r="J4" s="44"/>
    </row>
    <row r="5" spans="1:10" ht="17" thickBot="1" x14ac:dyDescent="0.25"/>
    <row r="6" spans="1:10" x14ac:dyDescent="0.2">
      <c r="A6" s="5" t="s">
        <v>12</v>
      </c>
      <c r="B6" s="6" t="s">
        <v>1</v>
      </c>
    </row>
    <row r="7" spans="1:10" ht="17" thickBot="1" x14ac:dyDescent="0.25">
      <c r="A7" s="8">
        <v>750</v>
      </c>
      <c r="B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D4"/>
  <sheetViews>
    <sheetView zoomScale="166" zoomScaleNormal="100" workbookViewId="0">
      <selection sqref="A1:C1"/>
    </sheetView>
  </sheetViews>
  <sheetFormatPr baseColWidth="10" defaultColWidth="8.6640625" defaultRowHeight="15" x14ac:dyDescent="0.2"/>
  <cols>
    <col min="1" max="1" width="47.33203125" style="1" bestFit="1" customWidth="1"/>
    <col min="2" max="2" width="7.5" style="1" bestFit="1" customWidth="1"/>
    <col min="3" max="3" width="10" style="1" bestFit="1" customWidth="1"/>
    <col min="4" max="4" width="17.6640625" style="1" bestFit="1" customWidth="1"/>
    <col min="5" max="6" width="13.6640625" style="1" customWidth="1"/>
    <col min="7" max="16384" width="8.6640625" style="1"/>
  </cols>
  <sheetData>
    <row r="1" spans="1:4" ht="16" thickBot="1" x14ac:dyDescent="0.25">
      <c r="A1" s="51" t="s">
        <v>3</v>
      </c>
      <c r="B1" s="51"/>
      <c r="C1" s="51"/>
    </row>
    <row r="2" spans="1:4" ht="32" customHeight="1" thickBot="1" x14ac:dyDescent="0.25">
      <c r="A2" s="2" t="s">
        <v>4</v>
      </c>
      <c r="B2" s="3" t="s">
        <v>5</v>
      </c>
      <c r="C2" s="4" t="s">
        <v>6</v>
      </c>
    </row>
    <row r="3" spans="1:4" ht="16" x14ac:dyDescent="0.2">
      <c r="A3" s="45" t="s">
        <v>7</v>
      </c>
      <c r="B3" s="45"/>
      <c r="C3" s="46">
        <v>200</v>
      </c>
      <c r="D3">
        <v>150</v>
      </c>
    </row>
    <row r="4" spans="1:4" ht="16" x14ac:dyDescent="0.2">
      <c r="A4" s="45" t="s">
        <v>8</v>
      </c>
      <c r="B4" s="45"/>
      <c r="C4" s="46">
        <f>D4+(D4*0.25)</f>
        <v>162.5</v>
      </c>
      <c r="D4">
        <v>130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2026-02-23T07:07:14Z</dcterms:modified>
</cp:coreProperties>
</file>