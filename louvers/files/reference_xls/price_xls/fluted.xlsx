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offer-generator-test/louvers/files/reference_xls/price_xls/"/>
    </mc:Choice>
  </mc:AlternateContent>
  <xr:revisionPtr revIDLastSave="0" documentId="13_ncr:1_{4A2330B8-F67A-8A45-86BB-EFB7C242A79C}" xr6:coauthVersionLast="47" xr6:coauthVersionMax="47" xr10:uidLastSave="{00000000-0000-0000-0000-000000000000}"/>
  <bookViews>
    <workbookView xWindow="0" yWindow="660" windowWidth="28800" windowHeight="15940" xr2:uid="{00000000-000D-0000-FFFF-FFFF00000000}"/>
  </bookViews>
  <sheets>
    <sheet name="Pr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  <c r="J4" i="1" l="1"/>
  <c r="B4" i="1"/>
  <c r="J3" i="1"/>
  <c r="B3" i="1"/>
  <c r="G3" i="1"/>
  <c r="B2" i="1"/>
  <c r="G4" i="1"/>
  <c r="E3" i="1" l="1"/>
  <c r="H3" i="1"/>
  <c r="E4" i="1"/>
  <c r="H4" i="1"/>
</calcChain>
</file>

<file path=xl/sharedStrings.xml><?xml version="1.0" encoding="utf-8"?>
<sst xmlns="http://schemas.openxmlformats.org/spreadsheetml/2006/main" count="14" uniqueCount="14">
  <si>
    <t>Product</t>
  </si>
  <si>
    <t>Conversion Rate</t>
  </si>
  <si>
    <t>Mill Finish (₹/ft2)</t>
  </si>
  <si>
    <t>Mill Finish (₹/m2)</t>
  </si>
  <si>
    <t>Mill Finish (₹/m)</t>
  </si>
  <si>
    <t>Powder Coating (₹/ft2)</t>
  </si>
  <si>
    <t>PVDF (₹/ft2)</t>
  </si>
  <si>
    <t>Powder Coating (₹/m2)</t>
  </si>
  <si>
    <t>PVDF (₹/m2)</t>
  </si>
  <si>
    <t>Powder Coating (₹/m)</t>
  </si>
  <si>
    <t>PVDF (₹/m)</t>
  </si>
  <si>
    <t>Single Coated Profile</t>
  </si>
  <si>
    <t>Double Coated Profile</t>
  </si>
  <si>
    <t>Only Coating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</si>
</sst>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" fontId="4" fillId="2" borderId="11" xfId="0" applyNumberFormat="1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1" fontId="4" fillId="4" borderId="14" xfId="0" applyNumberFormat="1" applyFont="1" applyFill="1" applyBorder="1" applyAlignment="1">
      <alignment horizontal="center" vertical="center"/>
    </xf>
    <xf numFmtId="1" fontId="4" fillId="4" borderId="11" xfId="0" applyNumberFormat="1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4" borderId="13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136" workbookViewId="0">
      <selection activeCell="A8" sqref="A8"/>
    </sheetView>
  </sheetViews>
  <sheetFormatPr baseColWidth="10" defaultColWidth="11.5" defaultRowHeight="16" x14ac:dyDescent="0.2"/>
  <cols>
    <col min="1" max="1" width="23.1640625" style="17" bestFit="1" customWidth="1"/>
    <col min="2" max="2" width="14" style="17" bestFit="1" customWidth="1"/>
    <col min="3" max="3" width="14.33203125" style="17" bestFit="1" customWidth="1"/>
    <col min="4" max="4" width="24.1640625" style="17" bestFit="1" customWidth="1"/>
    <col min="5" max="5" width="20.33203125" style="17" customWidth="1"/>
    <col min="6" max="6" width="18.6640625" style="17" bestFit="1" customWidth="1"/>
    <col min="7" max="7" width="17.83203125" style="17" bestFit="1" customWidth="1"/>
    <col min="8" max="16384" width="11.5" style="17"/>
  </cols>
  <sheetData>
    <row r="1" spans="1:10" x14ac:dyDescent="0.2">
      <c r="A1" s="3" t="s">
        <v>0</v>
      </c>
      <c r="B1" s="29" t="s">
        <v>2</v>
      </c>
      <c r="C1" s="2" t="s">
        <v>3</v>
      </c>
      <c r="D1" s="30" t="s">
        <v>4</v>
      </c>
      <c r="E1" s="11" t="s">
        <v>5</v>
      </c>
      <c r="F1" s="12" t="s">
        <v>7</v>
      </c>
      <c r="G1" s="13" t="s">
        <v>9</v>
      </c>
      <c r="H1" s="14" t="s">
        <v>6</v>
      </c>
      <c r="I1" s="15" t="s">
        <v>8</v>
      </c>
      <c r="J1" s="16" t="s">
        <v>10</v>
      </c>
    </row>
    <row r="2" spans="1:10" x14ac:dyDescent="0.2">
      <c r="A2" s="4" t="s">
        <v>13</v>
      </c>
      <c r="B2" s="31">
        <f>+(D2/(39.37*5.83))*144</f>
        <v>838.48922414825961</v>
      </c>
      <c r="C2" s="1"/>
      <c r="D2" s="32">
        <f>1.62*$A$7</f>
        <v>1336.5</v>
      </c>
      <c r="E2" s="24">
        <v>142</v>
      </c>
      <c r="F2" s="18"/>
      <c r="G2" s="26">
        <v>205.2</v>
      </c>
      <c r="H2" s="25">
        <v>256</v>
      </c>
      <c r="I2" s="19"/>
      <c r="J2" s="28">
        <v>492.5</v>
      </c>
    </row>
    <row r="3" spans="1:10" x14ac:dyDescent="0.2">
      <c r="A3" s="4" t="s">
        <v>11</v>
      </c>
      <c r="B3" s="31">
        <f t="shared" ref="B3:B4" si="0">+(D3/(39.37*5.83))*144</f>
        <v>838.48922414825961</v>
      </c>
      <c r="C3" s="1"/>
      <c r="D3" s="32">
        <f t="shared" ref="D3:D4" si="1">1.62*$A$7</f>
        <v>1336.5</v>
      </c>
      <c r="E3" s="24">
        <f>E2+B3</f>
        <v>980.48922414825961</v>
      </c>
      <c r="F3" s="18"/>
      <c r="G3" s="26">
        <f>G2+D2</f>
        <v>1541.7</v>
      </c>
      <c r="H3" s="25">
        <f>H2+B3</f>
        <v>1094.4892241482596</v>
      </c>
      <c r="I3" s="19"/>
      <c r="J3" s="28">
        <f>J2+D3</f>
        <v>1829</v>
      </c>
    </row>
    <row r="4" spans="1:10" ht="17" thickBot="1" x14ac:dyDescent="0.25">
      <c r="A4" s="20" t="s">
        <v>12</v>
      </c>
      <c r="B4" s="33">
        <f t="shared" si="0"/>
        <v>838.48922414825961</v>
      </c>
      <c r="C4" s="5"/>
      <c r="D4" s="34">
        <f t="shared" si="1"/>
        <v>1336.5</v>
      </c>
      <c r="E4" s="6">
        <f>(E2*2)+B4</f>
        <v>1122.4892241482596</v>
      </c>
      <c r="F4" s="7"/>
      <c r="G4" s="27">
        <f>(G2*2)+D4</f>
        <v>1746.9</v>
      </c>
      <c r="H4" s="8">
        <f>(H2*2)+B4</f>
        <v>1350.4892241482596</v>
      </c>
      <c r="I4" s="9"/>
      <c r="J4" s="10">
        <f>(J2*2)+D4</f>
        <v>2321.5</v>
      </c>
    </row>
    <row r="5" spans="1:10" ht="17" thickBot="1" x14ac:dyDescent="0.25"/>
    <row r="6" spans="1:10" x14ac:dyDescent="0.2">
      <c r="A6" s="21" t="s">
        <v>1</v>
      </c>
      <c r="B6" s="22"/>
    </row>
    <row r="7" spans="1:10" ht="17" thickBot="1" x14ac:dyDescent="0.25">
      <c r="A7" s="23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2024-06-26T06:50:13Z</dcterms:created>
  <dcterms:modified xsi:type="dcterms:W3CDTF">2026-03-14T05:48:22Z</dcterms:modified>
</cp:coreProperties>
</file>