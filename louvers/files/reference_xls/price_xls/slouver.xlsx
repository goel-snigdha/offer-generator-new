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louvers/files/reference_xls/price_xls/"/>
    </mc:Choice>
  </mc:AlternateContent>
  <xr:revisionPtr revIDLastSave="0" documentId="13_ncr:1_{C35A59FB-7AA9-8F4A-AD4B-2C1792C4DDB4}" xr6:coauthVersionLast="47" xr6:coauthVersionMax="47" xr10:uidLastSave="{00000000-0000-0000-0000-000000000000}"/>
  <bookViews>
    <workbookView xWindow="0" yWindow="660" windowWidth="28800" windowHeight="15940" xr2:uid="{00000000-000D-0000-FFFF-FFFF00000000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J4" i="1" s="1"/>
  <c r="D3" i="1"/>
  <c r="J3" i="1" s="1"/>
  <c r="D2" i="1"/>
  <c r="J2" i="1" s="1"/>
  <c r="C2" i="1"/>
  <c r="B2" i="1" s="1"/>
  <c r="C4" i="1"/>
  <c r="I4" i="1" s="1"/>
  <c r="C3" i="1"/>
  <c r="F3" i="1" s="1"/>
  <c r="I3" i="1" l="1"/>
  <c r="I2" i="1"/>
  <c r="H2" i="1" s="1"/>
  <c r="F2" i="1"/>
  <c r="G2" i="1"/>
  <c r="G3" i="1"/>
  <c r="F4" i="1"/>
  <c r="E4" i="1" s="1"/>
  <c r="G4" i="1"/>
  <c r="E3" i="1"/>
  <c r="B3" i="1"/>
  <c r="B5" i="1" s="1"/>
  <c r="B4" i="1"/>
  <c r="B6" i="1" s="1"/>
  <c r="H4" i="1"/>
  <c r="C5" i="1"/>
  <c r="C6" i="1"/>
  <c r="H6" i="1" l="1"/>
  <c r="I6" i="1"/>
  <c r="H3" i="1"/>
  <c r="H5" i="1" s="1"/>
  <c r="I5" i="1"/>
  <c r="E2" i="1"/>
  <c r="F6" i="1"/>
  <c r="F5" i="1"/>
  <c r="E6" i="1" l="1"/>
  <c r="E5" i="1"/>
</calcChain>
</file>

<file path=xl/sharedStrings.xml><?xml version="1.0" encoding="utf-8"?>
<sst xmlns="http://schemas.openxmlformats.org/spreadsheetml/2006/main" count="27" uniqueCount="27">
  <si>
    <t>Product</t>
  </si>
  <si>
    <t>Conversion Rate</t>
  </si>
  <si>
    <t>Mill Finish (₹/ft2)</t>
  </si>
  <si>
    <t>Mill Finish (₹/m2)</t>
  </si>
  <si>
    <t>Mill Finish (₹/m)</t>
  </si>
  <si>
    <t>Powder Coating (₹/ft2)</t>
  </si>
  <si>
    <t>PVDF (₹/ft2)</t>
  </si>
  <si>
    <t>Powder Coating (₹/m2)</t>
  </si>
  <si>
    <t>PVDF (₹/m2)</t>
  </si>
  <si>
    <t>Powder Coating (₹/m)</t>
  </si>
  <si>
    <t>PVDF (₹/m)</t>
  </si>
  <si>
    <t>Single Coated Profile</t>
  </si>
  <si>
    <t>Double Coated Profile</t>
  </si>
  <si>
    <t>Carrier</t>
  </si>
  <si>
    <t>Single Side Coating</t>
  </si>
  <si>
    <t>Double Side Coating</t>
  </si>
  <si>
    <t>Correct Weight 2020</t>
  </si>
  <si>
    <t>Product Description</t>
  </si>
  <si>
    <t>Weight (kg/m)</t>
  </si>
  <si>
    <t>Perimeter (mm)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</si>
  <si>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</si>
  <si>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</si>
  <si>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S Louvers</t>
  </si>
  <si>
    <t>Single side coating</t>
  </si>
  <si>
    <t>Both side coating</t>
  </si>
  <si>
    <t>S Louvers Carrier</t>
  </si>
  <si>
    <t>Pitch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</si>
</sst>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vertAlign val="superscript"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medium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/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medium">
        <color indexed="64"/>
      </left>
      <right/>
      <top style="thin">
        <color theme="1"/>
      </top>
      <bottom style="medium">
        <color indexed="64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indexed="64"/>
      </bottom>
      <diagonal/>
    </border>
    <border>
      <left/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1" fontId="4" fillId="2" borderId="4" xfId="0" applyNumberFormat="1" applyFont="1" applyFill="1" applyBorder="1" applyAlignment="1">
      <alignment horizontal="center" vertical="center"/>
    </xf>
    <xf numFmtId="1" fontId="4" fillId="3" borderId="4" xfId="0" applyNumberFormat="1" applyFont="1" applyFill="1" applyBorder="1" applyAlignment="1">
      <alignment horizontal="center" vertical="center"/>
    </xf>
    <xf numFmtId="1" fontId="4" fillId="4" borderId="4" xfId="0" applyNumberFormat="1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1" fontId="4" fillId="4" borderId="9" xfId="0" applyNumberFormat="1" applyFont="1" applyFill="1" applyBorder="1" applyAlignment="1">
      <alignment horizontal="center" vertical="center"/>
    </xf>
    <xf numFmtId="0" fontId="1" fillId="0" borderId="12" xfId="0" applyFont="1" applyBorder="1" applyAlignment="1">
      <alignment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0" fillId="0" borderId="1" xfId="0" applyBorder="1"/>
    <xf numFmtId="164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" fontId="4" fillId="2" borderId="8" xfId="0" applyNumberFormat="1" applyFont="1" applyFill="1" applyBorder="1" applyAlignment="1">
      <alignment horizontal="center" vertical="center"/>
    </xf>
    <xf numFmtId="1" fontId="4" fillId="2" borderId="9" xfId="0" applyNumberFormat="1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 vertical="center"/>
    </xf>
    <xf numFmtId="1" fontId="4" fillId="4" borderId="18" xfId="0" applyNumberFormat="1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1" fontId="4" fillId="3" borderId="9" xfId="0" applyNumberFormat="1" applyFont="1" applyFill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1" fontId="4" fillId="2" borderId="20" xfId="0" applyNumberFormat="1" applyFont="1" applyFill="1" applyBorder="1" applyAlignment="1">
      <alignment horizontal="center" vertical="center"/>
    </xf>
    <xf numFmtId="1" fontId="4" fillId="2" borderId="21" xfId="0" applyNumberFormat="1" applyFont="1" applyFill="1" applyBorder="1" applyAlignment="1">
      <alignment horizontal="center" vertical="center"/>
    </xf>
    <xf numFmtId="1" fontId="4" fillId="2" borderId="22" xfId="0" applyNumberFormat="1" applyFont="1" applyFill="1" applyBorder="1" applyAlignment="1">
      <alignment horizontal="center" vertical="center"/>
    </xf>
    <xf numFmtId="1" fontId="4" fillId="3" borderId="20" xfId="0" applyNumberFormat="1" applyFont="1" applyFill="1" applyBorder="1" applyAlignment="1">
      <alignment horizontal="center" vertical="center"/>
    </xf>
    <xf numFmtId="1" fontId="4" fillId="3" borderId="21" xfId="0" applyNumberFormat="1" applyFont="1" applyFill="1" applyBorder="1" applyAlignment="1">
      <alignment horizontal="center" vertical="center"/>
    </xf>
    <xf numFmtId="1" fontId="4" fillId="3" borderId="22" xfId="0" applyNumberFormat="1" applyFont="1" applyFill="1" applyBorder="1" applyAlignment="1">
      <alignment horizontal="center" vertical="center"/>
    </xf>
    <xf numFmtId="1" fontId="4" fillId="4" borderId="23" xfId="0" applyNumberFormat="1" applyFont="1" applyFill="1" applyBorder="1" applyAlignment="1">
      <alignment horizontal="center" vertical="center"/>
    </xf>
    <xf numFmtId="1" fontId="4" fillId="4" borderId="21" xfId="0" applyNumberFormat="1" applyFont="1" applyFill="1" applyBorder="1" applyAlignment="1">
      <alignment horizontal="center" vertical="center"/>
    </xf>
    <xf numFmtId="1" fontId="4" fillId="4" borderId="22" xfId="0" applyNumberFormat="1" applyFont="1" applyFill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1" fontId="7" fillId="2" borderId="25" xfId="0" applyNumberFormat="1" applyFont="1" applyFill="1" applyBorder="1" applyAlignment="1">
      <alignment horizontal="center" vertical="center"/>
    </xf>
    <xf numFmtId="1" fontId="7" fillId="2" borderId="26" xfId="0" applyNumberFormat="1" applyFont="1" applyFill="1" applyBorder="1" applyAlignment="1">
      <alignment horizontal="center" vertical="center"/>
    </xf>
    <xf numFmtId="1" fontId="7" fillId="2" borderId="27" xfId="0" applyNumberFormat="1" applyFont="1" applyFill="1" applyBorder="1" applyAlignment="1">
      <alignment horizontal="center" vertical="center"/>
    </xf>
    <xf numFmtId="1" fontId="7" fillId="3" borderId="25" xfId="0" applyNumberFormat="1" applyFont="1" applyFill="1" applyBorder="1" applyAlignment="1">
      <alignment horizontal="center" vertical="center"/>
    </xf>
    <xf numFmtId="1" fontId="7" fillId="3" borderId="26" xfId="0" applyNumberFormat="1" applyFont="1" applyFill="1" applyBorder="1" applyAlignment="1">
      <alignment horizontal="center" vertical="center"/>
    </xf>
    <xf numFmtId="1" fontId="7" fillId="3" borderId="27" xfId="0" applyNumberFormat="1" applyFont="1" applyFill="1" applyBorder="1" applyAlignment="1">
      <alignment horizontal="center" vertical="center"/>
    </xf>
    <xf numFmtId="1" fontId="7" fillId="4" borderId="28" xfId="0" applyNumberFormat="1" applyFont="1" applyFill="1" applyBorder="1" applyAlignment="1">
      <alignment horizontal="center" vertical="center"/>
    </xf>
    <xf numFmtId="1" fontId="7" fillId="4" borderId="26" xfId="0" applyNumberFormat="1" applyFont="1" applyFill="1" applyBorder="1" applyAlignment="1">
      <alignment horizontal="center" vertical="center"/>
    </xf>
    <xf numFmtId="1" fontId="7" fillId="4" borderId="29" xfId="0" applyNumberFormat="1" applyFont="1" applyFill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 vertical="center"/>
    </xf>
    <xf numFmtId="1" fontId="7" fillId="3" borderId="31" xfId="0" applyNumberFormat="1" applyFont="1" applyFill="1" applyBorder="1" applyAlignment="1">
      <alignment horizontal="center" vertical="center"/>
    </xf>
    <xf numFmtId="1" fontId="7" fillId="3" borderId="32" xfId="0" applyNumberFormat="1" applyFont="1" applyFill="1" applyBorder="1" applyAlignment="1">
      <alignment horizontal="center" vertical="center"/>
    </xf>
    <xf numFmtId="1" fontId="7" fillId="3" borderId="33" xfId="0" applyNumberFormat="1" applyFont="1" applyFill="1" applyBorder="1" applyAlignment="1">
      <alignment horizontal="center" vertical="center"/>
    </xf>
    <xf numFmtId="1" fontId="7" fillId="4" borderId="34" xfId="0" applyNumberFormat="1" applyFont="1" applyFill="1" applyBorder="1" applyAlignment="1">
      <alignment horizontal="center" vertical="center"/>
    </xf>
    <xf numFmtId="1" fontId="7" fillId="4" borderId="32" xfId="0" applyNumberFormat="1" applyFont="1" applyFill="1" applyBorder="1" applyAlignment="1">
      <alignment horizontal="center" vertical="center"/>
    </xf>
    <xf numFmtId="1" fontId="7" fillId="4" borderId="35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2" xfId="0" applyNumberForma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"/>
  <sheetViews>
    <sheetView tabSelected="1" zoomScale="233" workbookViewId="0">
      <selection activeCell="A10" sqref="A10"/>
    </sheetView>
  </sheetViews>
  <sheetFormatPr baseColWidth="10" defaultColWidth="11.5" defaultRowHeight="16" x14ac:dyDescent="0.2"/>
  <cols>
    <col min="1" max="1" width="23.1640625" style="1" bestFit="1" customWidth="1"/>
    <col min="2" max="2" width="14" style="1" bestFit="1" customWidth="1"/>
    <col min="3" max="3" width="14.33203125" style="1" bestFit="1" customWidth="1"/>
    <col min="4" max="4" width="24.1640625" style="1" bestFit="1" customWidth="1"/>
    <col min="5" max="5" width="20.33203125" style="1" customWidth="1"/>
    <col min="6" max="6" width="18.6640625" style="1" bestFit="1" customWidth="1"/>
    <col min="7" max="7" width="17.83203125" style="1" bestFit="1" customWidth="1"/>
    <col min="8" max="16384" width="11.5" style="1"/>
  </cols>
  <sheetData>
    <row r="1" spans="1:10" x14ac:dyDescent="0.2">
      <c r="A1" s="20" t="s">
        <v>0</v>
      </c>
      <c r="B1" s="22" t="s">
        <v>2</v>
      </c>
      <c r="C1" s="5" t="s">
        <v>3</v>
      </c>
      <c r="D1" s="23" t="s">
        <v>4</v>
      </c>
      <c r="E1" s="28" t="s">
        <v>5</v>
      </c>
      <c r="F1" s="6" t="s">
        <v>7</v>
      </c>
      <c r="G1" s="29" t="s">
        <v>9</v>
      </c>
      <c r="H1" s="26" t="s">
        <v>6</v>
      </c>
      <c r="I1" s="7" t="s">
        <v>8</v>
      </c>
      <c r="J1" s="8" t="s">
        <v>10</v>
      </c>
    </row>
    <row r="2" spans="1:10" x14ac:dyDescent="0.2">
      <c r="A2" s="21" t="s">
        <v>13</v>
      </c>
      <c r="B2" s="24">
        <f>C2/10.76391</f>
        <v>74.52394484470129</v>
      </c>
      <c r="C2" s="2">
        <f>((((1000/133.7)*2)*50/1000)*'Per m weight'!B5)*A9</f>
        <v>802.16903515332854</v>
      </c>
      <c r="D2" s="25">
        <f>+A9*'Per m weight'!B5</f>
        <v>1072.5</v>
      </c>
      <c r="E2" s="30">
        <f>F2/10.76391</f>
        <v>85.563564180087681</v>
      </c>
      <c r="F2" s="3">
        <f>C2+(('Per m weight'!C5/25.4)*39.37)*(((1000/133.7)*2)*50/1000)*'Per m weight'!G3</f>
        <v>920.99850411368755</v>
      </c>
      <c r="G2" s="31">
        <f>+D2+((('Per m weight'!C5/25.4)*39.37008)*'Per m weight'!G3)</f>
        <v>1231.3753228346457</v>
      </c>
      <c r="H2" s="27">
        <f>I2/10.76391</f>
        <v>101.01903124962865</v>
      </c>
      <c r="I2" s="4">
        <f>C2+(('Per m weight'!C5/25.4)*39.37)*(((1000/133.7)*2)*50/1000)*'Per m weight'!G4</f>
        <v>1087.3597606581902</v>
      </c>
      <c r="J2" s="9">
        <f>+D2+((('Per m weight'!C5/25.4)*39.37008)*'Per m weight'!G4)</f>
        <v>1453.8007748031496</v>
      </c>
    </row>
    <row r="3" spans="1:10" x14ac:dyDescent="0.2">
      <c r="A3" s="21" t="s">
        <v>14</v>
      </c>
      <c r="B3" s="24">
        <f>C3/10.76391</f>
        <v>761.16424684671847</v>
      </c>
      <c r="C3" s="2">
        <f>((1000/B9)*'Per m weight'!B3)*A9</f>
        <v>8193.1034482758605</v>
      </c>
      <c r="D3" s="25">
        <f>+A9*'Per m weight'!B3</f>
        <v>356.4</v>
      </c>
      <c r="E3" s="30">
        <f>F3/10.76391</f>
        <v>860.4741982779683</v>
      </c>
      <c r="F3" s="3">
        <f>C3+(((('Per m weight'!C3*0.03937)*39.37)*(1000/B9))*'Per m weight'!G3)</f>
        <v>9262.0668275862045</v>
      </c>
      <c r="G3" s="31">
        <f>+D3+((('Per m weight'!C3/25.4)*39.37008)*'Per m weight'!G3)</f>
        <v>402.90009448818898</v>
      </c>
      <c r="H3" s="27">
        <f t="shared" ref="H3:H4" si="0">I3/10.76391</f>
        <v>999.50813028171808</v>
      </c>
      <c r="I3" s="4">
        <f>C3+(((('Per m weight'!C3*0.03937)*39.37)*(1000/B9))*'Per m weight'!G4)</f>
        <v>10758.615558620688</v>
      </c>
      <c r="J3" s="9">
        <f>+D3+((('Per m weight'!C3/25.4)*39.37008)*'Per m weight'!G4)</f>
        <v>468.00022677165356</v>
      </c>
    </row>
    <row r="4" spans="1:10" ht="17" thickBot="1" x14ac:dyDescent="0.25">
      <c r="A4" s="32" t="s">
        <v>15</v>
      </c>
      <c r="B4" s="33">
        <f>C4/10.76391</f>
        <v>761.16424684671847</v>
      </c>
      <c r="C4" s="34">
        <f>((1000/B9)*'Per m weight'!B3)*A9</f>
        <v>8193.1034482758605</v>
      </c>
      <c r="D4" s="35">
        <f>+A9*'Per m weight'!B3</f>
        <v>356.4</v>
      </c>
      <c r="E4" s="36">
        <f>F4/10.76391</f>
        <v>893.5775154217182</v>
      </c>
      <c r="F4" s="37">
        <f>C4+(((('Per m weight'!C4*0.03937)*39.37)*(1000/B9))*'Per m weight'!G3)</f>
        <v>9618.3879540229864</v>
      </c>
      <c r="G4" s="38">
        <f>+D4+((('Per m weight'!C4/25.4)*39.37008)*'Per m weight'!G3)</f>
        <v>418.40012598425193</v>
      </c>
      <c r="H4" s="39">
        <f t="shared" si="0"/>
        <v>1078.9560914267179</v>
      </c>
      <c r="I4" s="40">
        <f>C4+(((('Per m weight'!C4*0.03937)*39.37)*(1000/B9))*'Per m weight'!G4)</f>
        <v>11613.786262068963</v>
      </c>
      <c r="J4" s="41">
        <f>+D4+((('Per m weight'!C4/25.4)*39.37008)*'Per m weight'!G4)</f>
        <v>505.2003023622047</v>
      </c>
    </row>
    <row r="5" spans="1:10" x14ac:dyDescent="0.2">
      <c r="A5" s="42" t="s">
        <v>11</v>
      </c>
      <c r="B5" s="43">
        <f>SUM(B2:B3)</f>
        <v>835.68819169141977</v>
      </c>
      <c r="C5" s="44">
        <f>SUM(C2:C3)</f>
        <v>8995.2724834291894</v>
      </c>
      <c r="D5" s="45"/>
      <c r="E5" s="46">
        <f>SUM(E2:E3)</f>
        <v>946.03776245805602</v>
      </c>
      <c r="F5" s="47">
        <f>SUM(F2:F3)</f>
        <v>10183.065331699892</v>
      </c>
      <c r="G5" s="48"/>
      <c r="H5" s="49">
        <f>SUM(H2:H3)</f>
        <v>1100.5271615313468</v>
      </c>
      <c r="I5" s="50">
        <f>SUM(I2:I3)</f>
        <v>11845.975319278878</v>
      </c>
      <c r="J5" s="51"/>
    </row>
    <row r="6" spans="1:10" ht="17" thickBot="1" x14ac:dyDescent="0.25">
      <c r="A6" s="52" t="s">
        <v>12</v>
      </c>
      <c r="B6" s="53">
        <f>SUM(B2,B4)</f>
        <v>835.68819169141977</v>
      </c>
      <c r="C6" s="54">
        <f>SUM(C2,C4)</f>
        <v>8995.2724834291894</v>
      </c>
      <c r="D6" s="55"/>
      <c r="E6" s="56">
        <f>SUM(E2,E4)</f>
        <v>979.14107960180593</v>
      </c>
      <c r="F6" s="57">
        <f>SUM(F2,F4)</f>
        <v>10539.386458136674</v>
      </c>
      <c r="G6" s="58"/>
      <c r="H6" s="59">
        <f>SUM(H2,H4)</f>
        <v>1179.9751226763465</v>
      </c>
      <c r="I6" s="60">
        <f>SUM(I2,I4)</f>
        <v>12701.146022727153</v>
      </c>
      <c r="J6" s="61"/>
    </row>
    <row r="7" spans="1:10" ht="17" thickBot="1" x14ac:dyDescent="0.25"/>
    <row r="8" spans="1:10" x14ac:dyDescent="0.2">
      <c r="A8" s="16" t="s">
        <v>1</v>
      </c>
      <c r="B8" s="17" t="s">
        <v>26</v>
      </c>
    </row>
    <row r="9" spans="1:10" ht="17" thickBot="1" x14ac:dyDescent="0.25">
      <c r="A9" s="18">
        <v>825</v>
      </c>
      <c r="B9" s="19">
        <v>43.5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41F81-A792-AF4B-B3E3-7017CE23155A}">
  <dimension ref="A1:G5"/>
  <sheetViews>
    <sheetView workbookViewId="0">
      <selection activeCell="A18" sqref="A18"/>
    </sheetView>
  </sheetViews>
  <sheetFormatPr baseColWidth="10" defaultColWidth="8.6640625" defaultRowHeight="16" x14ac:dyDescent="0.2"/>
  <cols>
    <col min="1" max="1" width="47.33203125" bestFit="1" customWidth="1"/>
    <col min="2" max="2" width="7.5" bestFit="1" customWidth="1"/>
    <col min="3" max="3" width="10" bestFit="1" customWidth="1"/>
    <col min="4" max="4" width="17.6640625" bestFit="1" customWidth="1"/>
    <col min="5" max="6" width="13.6640625" customWidth="1"/>
  </cols>
  <sheetData>
    <row r="1" spans="1:7" ht="17" thickBot="1" x14ac:dyDescent="0.25">
      <c r="A1" s="64" t="s">
        <v>16</v>
      </c>
      <c r="B1" s="64"/>
      <c r="C1" s="64"/>
    </row>
    <row r="2" spans="1:7" ht="32" customHeight="1" thickBot="1" x14ac:dyDescent="0.25">
      <c r="A2" s="10" t="s">
        <v>17</v>
      </c>
      <c r="B2" s="11" t="s">
        <v>18</v>
      </c>
      <c r="C2" s="12" t="s">
        <v>19</v>
      </c>
    </row>
    <row r="3" spans="1:7" ht="17" x14ac:dyDescent="0.2">
      <c r="A3" s="62" t="s">
        <v>22</v>
      </c>
      <c r="B3" s="63">
        <v>0.432</v>
      </c>
      <c r="C3" s="15">
        <v>120</v>
      </c>
      <c r="D3" t="s">
        <v>23</v>
      </c>
      <c r="E3" s="65" t="s">
        <v>20</v>
      </c>
      <c r="F3" s="65"/>
      <c r="G3">
        <v>0.25</v>
      </c>
    </row>
    <row r="4" spans="1:7" ht="17" x14ac:dyDescent="0.2">
      <c r="A4" s="62"/>
      <c r="B4" s="63"/>
      <c r="C4" s="15">
        <v>160</v>
      </c>
      <c r="D4" t="s">
        <v>24</v>
      </c>
      <c r="E4" s="65" t="s">
        <v>21</v>
      </c>
      <c r="F4" s="65"/>
      <c r="G4">
        <v>0.6</v>
      </c>
    </row>
    <row r="5" spans="1:7" x14ac:dyDescent="0.2">
      <c r="A5" s="13" t="s">
        <v>25</v>
      </c>
      <c r="B5" s="14">
        <v>1.3</v>
      </c>
      <c r="C5" s="15">
        <v>410</v>
      </c>
    </row>
  </sheetData>
  <mergeCells count="5">
    <mergeCell ref="A3:A4"/>
    <mergeCell ref="B3:B4"/>
    <mergeCell ref="A1:C1"/>
    <mergeCell ref="E3:F3"/>
    <mergeCell ref="E4:F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2026-03-14T05:47:34Z</dcterms:modified>
</cp:coreProperties>
</file>