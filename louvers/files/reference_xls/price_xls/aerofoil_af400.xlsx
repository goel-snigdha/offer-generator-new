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A1C73930-62AF-9D45-90E1-058B87B87299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G3" i="5" s="1"/>
  <c r="J3" i="5" s="1"/>
  <c r="D2" i="5"/>
  <c r="G2" i="5" s="1"/>
  <c r="J2" i="5" s="1"/>
  <c r="C3" i="5"/>
  <c r="F3" i="5" s="1"/>
  <c r="E3" i="5" s="1"/>
  <c r="C2" i="5"/>
  <c r="F2" i="5" s="1"/>
  <c r="E2" i="5" s="1"/>
  <c r="I3" i="5" l="1"/>
  <c r="H3" i="5" s="1"/>
  <c r="I2" i="5"/>
  <c r="H2" i="5" s="1"/>
  <c r="B2" i="5"/>
  <c r="B3" i="5"/>
  <c r="B4" i="5" l="1"/>
  <c r="C4" i="5"/>
  <c r="E4" i="5"/>
  <c r="I4" i="5" l="1"/>
  <c r="H4" i="5"/>
  <c r="F4" i="5"/>
</calcChain>
</file>

<file path=xl/sharedStrings.xml><?xml version="1.0" encoding="utf-8"?>
<sst xmlns="http://schemas.openxmlformats.org/spreadsheetml/2006/main" count="15" uniqueCount="15">
  <si>
    <t>Product</t>
  </si>
  <si>
    <t>Pitch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</si>
  <si>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</si>
  <si>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</si>
  <si>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</si>
  <si>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</si>
  <si>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</si>
  <si>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</si>
  <si>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</si>
  <si>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</si>
  <si>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</si>
  <si>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</si>
  <si>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</si>
  <si>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AF400/60 Both End Pieces</t>
  </si>
  <si>
    <t>AF400/60 Center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</si>
</sst>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2" fillId="2" borderId="12" xfId="0" applyNumberFormat="1" applyFont="1" applyFill="1" applyBorder="1" applyAlignment="1">
      <alignment horizontal="center" vertical="center"/>
    </xf>
    <xf numFmtId="1" fontId="2" fillId="2" borderId="14" xfId="0" applyNumberFormat="1" applyFont="1" applyFill="1" applyBorder="1" applyAlignment="1">
      <alignment horizontal="center" vertical="center"/>
    </xf>
    <xf numFmtId="1" fontId="2" fillId="2" borderId="13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2" fillId="3" borderId="12" xfId="0" applyNumberFormat="1" applyFont="1" applyFill="1" applyBorder="1" applyAlignment="1">
      <alignment horizontal="center" vertical="center"/>
    </xf>
    <xf numFmtId="1" fontId="2" fillId="3" borderId="14" xfId="0" applyNumberFormat="1" applyFont="1" applyFill="1" applyBorder="1" applyAlignment="1">
      <alignment horizontal="center" vertical="center"/>
    </xf>
    <xf numFmtId="1" fontId="2" fillId="3" borderId="13" xfId="0" applyNumberFormat="1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2" fillId="4" borderId="17" xfId="0" applyNumberFormat="1" applyFont="1" applyFill="1" applyBorder="1" applyAlignment="1">
      <alignment horizontal="center" vertical="center"/>
    </xf>
    <xf numFmtId="1" fontId="2" fillId="4" borderId="14" xfId="0" applyNumberFormat="1" applyFont="1" applyFill="1" applyBorder="1" applyAlignment="1">
      <alignment horizontal="center" vertical="center"/>
    </xf>
    <xf numFmtId="1" fontId="2" fillId="4" borderId="13" xfId="0" applyNumberFormat="1" applyFon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1" fontId="0" fillId="4" borderId="18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0" fillId="5" borderId="20" xfId="0" applyFill="1" applyBorder="1"/>
    <xf numFmtId="0" fontId="0" fillId="5" borderId="21" xfId="0" applyFill="1" applyBorder="1"/>
    <xf numFmtId="0" fontId="2" fillId="5" borderId="2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8B49-6337-BB40-8548-E7460A30C2B3}">
  <dimension ref="A1:J7"/>
  <sheetViews>
    <sheetView tabSelected="1" zoomScale="173" workbookViewId="0">
      <selection activeCell="A8" sqref="A8"/>
    </sheetView>
  </sheetViews>
  <sheetFormatPr baseColWidth="10" defaultRowHeight="16" x14ac:dyDescent="0.2"/>
  <cols>
    <col min="1" max="1" width="22.6640625" style="3" bestFit="1" customWidth="1"/>
    <col min="2" max="2" width="8.6640625" style="3" bestFit="1" customWidth="1"/>
    <col min="3" max="3" width="9" style="3" bestFit="1" customWidth="1"/>
    <col min="4" max="4" width="8" style="3" bestFit="1" customWidth="1"/>
    <col min="5" max="5" width="18.5" style="3" bestFit="1" customWidth="1"/>
    <col min="6" max="6" width="18.83203125" style="3" bestFit="1" customWidth="1"/>
    <col min="7" max="7" width="17.83203125" style="3" bestFit="1" customWidth="1"/>
    <col min="8" max="16384" width="10.83203125" style="3"/>
  </cols>
  <sheetData>
    <row r="1" spans="1:10" s="6" customFormat="1" ht="17" thickBot="1" x14ac:dyDescent="0.25">
      <c r="A1" s="43" t="s">
        <v>0</v>
      </c>
      <c r="B1" s="7" t="s">
        <v>2</v>
      </c>
      <c r="C1" s="8" t="s">
        <v>8</v>
      </c>
      <c r="D1" s="9" t="s">
        <v>9</v>
      </c>
      <c r="E1" s="16" t="s">
        <v>3</v>
      </c>
      <c r="F1" s="17" t="s">
        <v>4</v>
      </c>
      <c r="G1" s="18" t="s">
        <v>5</v>
      </c>
      <c r="H1" s="25" t="s">
        <v>10</v>
      </c>
      <c r="I1" s="26" t="s">
        <v>11</v>
      </c>
      <c r="J1" s="27" t="s">
        <v>12</v>
      </c>
    </row>
    <row r="2" spans="1:10" x14ac:dyDescent="0.2">
      <c r="A2" s="44" t="s">
        <v>13</v>
      </c>
      <c r="B2" s="10">
        <f>C2/10.76391</f>
        <v>622.56652090179125</v>
      </c>
      <c r="C2" s="11">
        <f>((1000/B7)*3.574)*A7</f>
        <v>6701.2499999999991</v>
      </c>
      <c r="D2" s="12">
        <f>+A7*(1.787*2)</f>
        <v>2680.5</v>
      </c>
      <c r="E2" s="19">
        <f>F2/10.76391</f>
        <v>680.70629059282362</v>
      </c>
      <c r="F2" s="20">
        <f>C2+((((646*0.03937)*39.37)*(1000/B7))*0.25)</f>
        <v>7327.0612483749992</v>
      </c>
      <c r="G2" s="21">
        <f>+D2+((((323*2)/25.4)*39.37008)*0.25)</f>
        <v>2930.8255086614172</v>
      </c>
      <c r="H2" s="28">
        <f>I2/10.76391</f>
        <v>785.35787603668177</v>
      </c>
      <c r="I2" s="29">
        <f>C2+((((646*0.03937)*39.37)*(1000/B7))*0.7)</f>
        <v>8453.5214954499988</v>
      </c>
      <c r="J2" s="30">
        <f>+G2+((((323*2)/25.4)*39.37008)*0.6)</f>
        <v>3531.6067294488189</v>
      </c>
    </row>
    <row r="3" spans="1:10" x14ac:dyDescent="0.2">
      <c r="A3" s="45" t="s">
        <v>14</v>
      </c>
      <c r="B3" s="37">
        <f>C3/10.76391</f>
        <v>286.72201830004155</v>
      </c>
      <c r="C3" s="38">
        <f>((1000/B7)*1.646)*A7</f>
        <v>3086.25</v>
      </c>
      <c r="D3" s="39">
        <f>+A7*1.646</f>
        <v>1234.5</v>
      </c>
      <c r="E3" s="34">
        <f>F3/10.76391</f>
        <v>303.19195305771791</v>
      </c>
      <c r="F3" s="35">
        <f>C3+((((183*0.03937)*39.37)*(1000/B7))*0.25)</f>
        <v>3263.5308954375</v>
      </c>
      <c r="G3" s="36">
        <f>+D3+(((183/25.4)*39.37008)*0.25)</f>
        <v>1305.4126440944883</v>
      </c>
      <c r="H3" s="40">
        <f>I3/10.76391</f>
        <v>332.83783562153531</v>
      </c>
      <c r="I3" s="41">
        <f>C3+((((183*0.03937)*39.37)*(1000/B7))*0.7)</f>
        <v>3582.6365072250001</v>
      </c>
      <c r="J3" s="42">
        <f>+G3+(((183/25.4)*39.37008)*0.6)</f>
        <v>1475.6029899212599</v>
      </c>
    </row>
    <row r="4" spans="1:10" s="6" customFormat="1" ht="17" thickBot="1" x14ac:dyDescent="0.25">
      <c r="A4" s="46" t="s">
        <v>7</v>
      </c>
      <c r="B4" s="13">
        <f>SUM(B2:B3)</f>
        <v>909.2885392018328</v>
      </c>
      <c r="C4" s="14">
        <f>SUM(C2:C3)</f>
        <v>9787.5</v>
      </c>
      <c r="D4" s="15"/>
      <c r="E4" s="22">
        <f>SUM(E2:E3)</f>
        <v>983.89824365054153</v>
      </c>
      <c r="F4" s="23">
        <f>SUM(F2:F3)</f>
        <v>10590.592143812499</v>
      </c>
      <c r="G4" s="24"/>
      <c r="H4" s="31">
        <f>SUM(H2:H3)</f>
        <v>1118.1957116582171</v>
      </c>
      <c r="I4" s="32">
        <f>SUM(I2:I3)</f>
        <v>12036.158002674998</v>
      </c>
      <c r="J4" s="33"/>
    </row>
    <row r="5" spans="1:10" ht="17" thickBot="1" x14ac:dyDescent="0.25"/>
    <row r="6" spans="1:10" s="6" customFormat="1" x14ac:dyDescent="0.2">
      <c r="A6" s="1" t="s">
        <v>6</v>
      </c>
      <c r="B6" s="2" t="s">
        <v>1</v>
      </c>
    </row>
    <row r="7" spans="1:10" ht="17" thickBot="1" x14ac:dyDescent="0.25">
      <c r="A7" s="4">
        <v>750</v>
      </c>
      <c r="B7" s="5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2026-02-23T07:13:16Z</dcterms:modified>
</cp:coreProperties>
</file>