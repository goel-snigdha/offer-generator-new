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louvers/files/reference_xls/price_xls/"/>
    </mc:Choice>
  </mc:AlternateContent>
  <xr:revisionPtr revIDLastSave="0" documentId="13_ncr:1_{B069B8D9-7C38-3A4B-9419-9D89DA163037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/>
  <c r="G4" i="5" s="1"/>
  <c r="D3" i="5"/>
  <c r="J3" i="5" s="1"/>
  <c r="D2" i="5"/>
  <c r="J2" i="5" s="1"/>
  <c r="C4" i="5"/>
  <c r="B4" i="5" s="1"/>
  <c r="C3" i="5"/>
  <c r="B3" i="5" s="1"/>
  <c r="C2" i="5"/>
  <c r="F2" i="5" s="1"/>
  <c r="E2" i="5" s="1"/>
  <c r="G3" i="5" l="1"/>
  <c r="G2" i="5"/>
  <c r="J4" i="5"/>
  <c r="F3" i="5"/>
  <c r="E3" i="5" s="1"/>
  <c r="I2" i="5"/>
  <c r="H2" i="5" s="1"/>
  <c r="B2" i="5"/>
  <c r="B5" i="5" s="1"/>
  <c r="F4" i="5"/>
  <c r="E4" i="5" s="1"/>
  <c r="E5" i="5" s="1"/>
  <c r="I3" i="5"/>
  <c r="H3" i="5" s="1"/>
  <c r="I4" i="5"/>
  <c r="H4" i="5" s="1"/>
  <c r="C5" i="5"/>
  <c r="I5" i="5" l="1"/>
  <c r="H5" i="5"/>
  <c r="F5" i="5"/>
</calcChain>
</file>

<file path=xl/sharedStrings.xml><?xml version="1.0" encoding="utf-8"?>
<sst xmlns="http://schemas.openxmlformats.org/spreadsheetml/2006/main" count="16" uniqueCount="16">
  <si>
    <t>Product</t>
  </si>
  <si>
    <t>Pitch</t>
  </si>
  <si>
    <t>Carrier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</si>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</sst>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" fontId="0" fillId="2" borderId="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6" xfId="0" applyNumberForma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0" fillId="2" borderId="8" xfId="0" applyNumberFormat="1" applyFill="1" applyBorder="1" applyAlignment="1">
      <alignment horizontal="center" vertical="center"/>
    </xf>
    <xf numFmtId="1" fontId="0" fillId="2" borderId="9" xfId="0" applyNumberFormat="1" applyFill="1" applyBorder="1" applyAlignment="1">
      <alignment horizontal="center" vertical="center"/>
    </xf>
    <xf numFmtId="1" fontId="2" fillId="2" borderId="15" xfId="0" applyNumberFormat="1" applyFont="1" applyFill="1" applyBorder="1" applyAlignment="1">
      <alignment horizontal="center" vertical="center"/>
    </xf>
    <xf numFmtId="1" fontId="2" fillId="2" borderId="17" xfId="0" applyNumberFormat="1" applyFont="1" applyFill="1" applyBorder="1" applyAlignment="1">
      <alignment horizontal="center" vertical="center"/>
    </xf>
    <xf numFmtId="1" fontId="2" fillId="2" borderId="16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7" xfId="0" applyNumberFormat="1" applyFont="1" applyFill="1" applyBorder="1" applyAlignment="1">
      <alignment horizontal="center" vertical="center"/>
    </xf>
    <xf numFmtId="1" fontId="2" fillId="3" borderId="16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" fontId="0" fillId="4" borderId="23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24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2" fillId="4" borderId="25" xfId="0" applyNumberFormat="1" applyFont="1" applyFill="1" applyBorder="1" applyAlignment="1">
      <alignment horizontal="center" vertical="center"/>
    </xf>
    <xf numFmtId="1" fontId="2" fillId="4" borderId="17" xfId="0" applyNumberFormat="1" applyFont="1" applyFill="1" applyBorder="1" applyAlignment="1">
      <alignment horizontal="center" vertical="center"/>
    </xf>
    <xf numFmtId="1" fontId="2" fillId="4" borderId="16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1" fontId="0" fillId="3" borderId="10" xfId="0" applyNumberFormat="1" applyFill="1" applyBorder="1" applyAlignment="1">
      <alignment horizontal="center" vertical="center"/>
    </xf>
    <xf numFmtId="1" fontId="0" fillId="3" borderId="11" xfId="0" applyNumberFormat="1" applyFill="1" applyBorder="1" applyAlignment="1">
      <alignment horizontal="center" vertical="center"/>
    </xf>
    <xf numFmtId="1" fontId="0" fillId="3" borderId="12" xfId="0" applyNumberFormat="1" applyFill="1" applyBorder="1" applyAlignment="1">
      <alignment horizontal="center" vertical="center"/>
    </xf>
    <xf numFmtId="1" fontId="0" fillId="2" borderId="10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1" fontId="0" fillId="4" borderId="27" xfId="0" applyNumberFormat="1" applyFill="1" applyBorder="1" applyAlignment="1">
      <alignment horizontal="center" vertical="center"/>
    </xf>
    <xf numFmtId="1" fontId="0" fillId="4" borderId="1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8B49-6337-BB40-8548-E7460A30C2B3}">
  <dimension ref="A1:J8"/>
  <sheetViews>
    <sheetView tabSelected="1" zoomScale="173" workbookViewId="0">
      <selection activeCell="A9" sqref="A9"/>
    </sheetView>
  </sheetViews>
  <sheetFormatPr baseColWidth="10" defaultRowHeight="16" x14ac:dyDescent="0.2"/>
  <cols>
    <col min="1" max="1" width="14.5" style="3" bestFit="1" customWidth="1"/>
    <col min="2" max="2" width="8.6640625" style="3" bestFit="1" customWidth="1"/>
    <col min="3" max="3" width="9" style="3" bestFit="1" customWidth="1"/>
    <col min="4" max="4" width="8" style="3" bestFit="1" customWidth="1"/>
    <col min="5" max="5" width="18.5" style="3" bestFit="1" customWidth="1"/>
    <col min="6" max="6" width="18.83203125" style="3" bestFit="1" customWidth="1"/>
    <col min="7" max="7" width="17.83203125" style="3" bestFit="1" customWidth="1"/>
    <col min="8" max="16384" width="10.83203125" style="3"/>
  </cols>
  <sheetData>
    <row r="1" spans="1:10" s="6" customFormat="1" ht="17" thickBot="1" x14ac:dyDescent="0.25">
      <c r="A1" s="43" t="s">
        <v>0</v>
      </c>
      <c r="B1" s="7" t="s">
        <v>3</v>
      </c>
      <c r="C1" s="8" t="s">
        <v>9</v>
      </c>
      <c r="D1" s="9" t="s">
        <v>10</v>
      </c>
      <c r="E1" s="19" t="s">
        <v>4</v>
      </c>
      <c r="F1" s="20" t="s">
        <v>5</v>
      </c>
      <c r="G1" s="21" t="s">
        <v>6</v>
      </c>
      <c r="H1" s="31" t="s">
        <v>11</v>
      </c>
      <c r="I1" s="32" t="s">
        <v>12</v>
      </c>
      <c r="J1" s="33" t="s">
        <v>13</v>
      </c>
    </row>
    <row r="2" spans="1:10" x14ac:dyDescent="0.2">
      <c r="A2" s="44" t="s">
        <v>15</v>
      </c>
      <c r="B2" s="10">
        <f>C2/10.76391</f>
        <v>2225.771118487613</v>
      </c>
      <c r="C2" s="11">
        <f>((1000/B8)*2.904)*A8</f>
        <v>23958</v>
      </c>
      <c r="D2" s="12">
        <f>+A8*2.904</f>
        <v>2395.7999999999997</v>
      </c>
      <c r="E2" s="22">
        <f>F2/10.76391</f>
        <v>2412.9703769355187</v>
      </c>
      <c r="F2" s="23">
        <f>C2+((((520*0.03937)*39.37)*(1000/B8))*0.25)</f>
        <v>25972.99597</v>
      </c>
      <c r="G2" s="24">
        <f>+D2+(((520/25.4)*39.37008)*0.25)</f>
        <v>2597.3004094488188</v>
      </c>
      <c r="H2" s="34">
        <f>I2/10.76391</f>
        <v>2749.92904214175</v>
      </c>
      <c r="I2" s="35">
        <f>C2+((((520*0.03937)*39.37)*(1000/B8))*0.7)</f>
        <v>29599.988716</v>
      </c>
      <c r="J2" s="36">
        <f>+D2+(((520/25.4)*39.37008)*0.6)</f>
        <v>2879.4009826771653</v>
      </c>
    </row>
    <row r="3" spans="1:10" x14ac:dyDescent="0.2">
      <c r="A3" s="45" t="s">
        <v>2</v>
      </c>
      <c r="B3" s="13">
        <f>C3/10.76391</f>
        <v>83.083191888449477</v>
      </c>
      <c r="C3" s="14">
        <f>((((1000/B8)*2)*50/1000)*1.084)*A8</f>
        <v>894.30000000000007</v>
      </c>
      <c r="D3" s="15">
        <f>+A8*1.365</f>
        <v>1126.125</v>
      </c>
      <c r="E3" s="25">
        <f>F3/10.76391</f>
        <v>92.443154810844774</v>
      </c>
      <c r="F3" s="26">
        <f>C3+((((260*0.03937)*39.37)*((1000/B8)*2)*50/1000)*0.25)</f>
        <v>995.04979850000007</v>
      </c>
      <c r="G3" s="27">
        <f>+D3+(((166/25.4)*39.37008)*0.25)</f>
        <v>1190.4501307086614</v>
      </c>
      <c r="H3" s="37">
        <f>I3/10.76391</f>
        <v>109.29108807115631</v>
      </c>
      <c r="I3" s="38">
        <f>C3+((((260*0.03937)*39.37)*((1000/B8)*2)*(50/1000))*0.7)</f>
        <v>1176.3994358</v>
      </c>
      <c r="J3" s="39">
        <f>+D3+(((166/25.4)*39.37008)*0.6)</f>
        <v>1280.5053137007874</v>
      </c>
    </row>
    <row r="4" spans="1:10" x14ac:dyDescent="0.2">
      <c r="A4" s="47" t="s">
        <v>14</v>
      </c>
      <c r="B4" s="51">
        <f>C4/10.76391</f>
        <v>104.62043997023387</v>
      </c>
      <c r="C4" s="52">
        <f>((((1000/B8)*2)*50/1000)*1.365)*A8</f>
        <v>1126.125</v>
      </c>
      <c r="D4" s="53">
        <f>+A8*1.084</f>
        <v>894.30000000000007</v>
      </c>
      <c r="E4" s="48">
        <f>F4/10.76391</f>
        <v>118.15638635031324</v>
      </c>
      <c r="F4" s="49">
        <f>C4+((((376*0.03937)*39.37)*((1000/B8)*2)*50/1000)*0.25)</f>
        <v>1271.8247086000001</v>
      </c>
      <c r="G4" s="50">
        <f>+D4+(((260/25.4)*39.37008)*0.25)</f>
        <v>995.05020472440958</v>
      </c>
      <c r="H4" s="54">
        <f>I4/10.76391</f>
        <v>142.52108983445606</v>
      </c>
      <c r="I4" s="55">
        <f>C4+((((376*0.03937)*39.37)*((1000/B8)*2)*(50/1000))*0.7)</f>
        <v>1534.0841840799999</v>
      </c>
      <c r="J4" s="56">
        <f>+D4+(((260/25.4)*39.37008)*0.6)</f>
        <v>1136.1004913385827</v>
      </c>
    </row>
    <row r="5" spans="1:10" s="6" customFormat="1" ht="17" thickBot="1" x14ac:dyDescent="0.25">
      <c r="A5" s="46" t="s">
        <v>8</v>
      </c>
      <c r="B5" s="16">
        <f>SUM(B2:B4)</f>
        <v>2413.4747503462963</v>
      </c>
      <c r="C5" s="17">
        <f>SUM(C2:C4)</f>
        <v>25978.424999999999</v>
      </c>
      <c r="D5" s="18"/>
      <c r="E5" s="28">
        <f>SUM(E2:E4)</f>
        <v>2623.5699180966767</v>
      </c>
      <c r="F5" s="29">
        <f>SUM(F2:F4)</f>
        <v>28239.870477100001</v>
      </c>
      <c r="G5" s="30"/>
      <c r="H5" s="40">
        <f>SUM(H2:H4)</f>
        <v>3001.7412200473623</v>
      </c>
      <c r="I5" s="41">
        <f>SUM(I2:I4)</f>
        <v>32310.472335879997</v>
      </c>
      <c r="J5" s="42"/>
    </row>
    <row r="6" spans="1:10" ht="17" thickBot="1" x14ac:dyDescent="0.25"/>
    <row r="7" spans="1:10" s="6" customFormat="1" x14ac:dyDescent="0.2">
      <c r="A7" s="1" t="s">
        <v>7</v>
      </c>
      <c r="B7" s="2" t="s">
        <v>1</v>
      </c>
    </row>
    <row r="8" spans="1:10" ht="17" thickBot="1" x14ac:dyDescent="0.25">
      <c r="A8" s="4">
        <v>825</v>
      </c>
      <c r="B8" s="5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2026-03-14T05:46:39Z</dcterms:modified>
</cp:coreProperties>
</file>