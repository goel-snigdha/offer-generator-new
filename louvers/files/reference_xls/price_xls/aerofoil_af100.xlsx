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7F7A3395-1316-4D4F-B204-2B3D70D05F10}" xr6:coauthVersionLast="47" xr6:coauthVersionMax="47" xr10:uidLastSave="{00000000-0000-0000-0000-000000000000}"/>
  <bookViews>
    <workbookView xWindow="0" yWindow="660" windowWidth="30240" windowHeight="18980" xr2:uid="{C496E742-E4DE-5F45-8BA5-297BA30B28EC}"/>
  </bookViews>
  <sheets>
    <sheet name="Price" sheetId="3" r:id="rId1"/>
    <sheet name="Per m weight" sheetId="4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J3" i="3" s="1"/>
  <c r="D2" i="3"/>
  <c r="G2" i="3" s="1"/>
  <c r="G4" i="4"/>
  <c r="E4" i="4"/>
  <c r="F4" i="4" s="1"/>
  <c r="D4" i="3"/>
  <c r="G4" i="3" s="1"/>
  <c r="C4" i="3"/>
  <c r="I4" i="3" s="1"/>
  <c r="C3" i="3"/>
  <c r="F3" i="3" s="1"/>
  <c r="C2" i="3"/>
  <c r="F2" i="3" s="1"/>
  <c r="F4" i="3" l="1"/>
  <c r="J2" i="3"/>
  <c r="G3" i="3"/>
  <c r="J4" i="3"/>
  <c r="I2" i="3"/>
  <c r="I3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<sst xmlns="http://schemas.openxmlformats.org/spreadsheetml/2006/main" count="25" uniqueCount="25">
  <si>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</si>
  <si>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</si>
  <si>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</si>
  <si>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</si>
  <si>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</si>
  <si>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</si>
  <si>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</si>
  <si>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</si>
  <si>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</si>
  <si>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100/20</t>
  </si>
  <si>
    <t>Aerofoil Wall Bracket WB (for Aerofoil AF100/20, AF150/40, AF200/50, AF 250/50)</t>
  </si>
  <si>
    <t>Aerofoil Carrier C1 (AF100/20)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</si>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</sst>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9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4" fillId="3" borderId="12" xfId="0" applyNumberFormat="1" applyFont="1" applyFill="1" applyBorder="1" applyAlignment="1">
      <alignment horizontal="center" vertical="center"/>
    </xf>
    <xf numFmtId="1" fontId="4" fillId="3" borderId="14" xfId="0" applyNumberFormat="1" applyFont="1" applyFill="1" applyBorder="1" applyAlignment="1">
      <alignment horizontal="center" vertical="center"/>
    </xf>
    <xf numFmtId="1" fontId="4" fillId="3" borderId="13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4" fillId="4" borderId="12" xfId="0" applyNumberFormat="1" applyFont="1" applyFill="1" applyBorder="1" applyAlignment="1">
      <alignment horizontal="center" vertical="center"/>
    </xf>
    <xf numFmtId="1" fontId="4" fillId="4" borderId="14" xfId="0" applyNumberFormat="1" applyFont="1" applyFill="1" applyBorder="1" applyAlignment="1">
      <alignment horizontal="center" vertical="center"/>
    </xf>
    <xf numFmtId="1" fontId="4" fillId="4" borderId="13" xfId="0" applyNumberFormat="1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0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" fontId="4" fillId="5" borderId="22" xfId="0" applyNumberFormat="1" applyFont="1" applyFill="1" applyBorder="1" applyAlignment="1">
      <alignment horizontal="center" vertical="center"/>
    </xf>
    <xf numFmtId="1" fontId="4" fillId="5" borderId="14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2" fillId="0" borderId="23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57" workbookViewId="0">
      <selection activeCell="D16" sqref="D16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8" width="10" style="12" bestFit="1" customWidth="1"/>
    <col min="9" max="16384" width="10.83203125" style="12"/>
  </cols>
  <sheetData>
    <row r="1" spans="1:10" s="16" customFormat="1" ht="17" thickBot="1" x14ac:dyDescent="0.25">
      <c r="A1" s="53" t="s">
        <v>0</v>
      </c>
      <c r="B1" s="17" t="s">
        <v>12</v>
      </c>
      <c r="C1" s="18" t="s">
        <v>18</v>
      </c>
      <c r="D1" s="19" t="s">
        <v>19</v>
      </c>
      <c r="E1" s="29" t="s">
        <v>13</v>
      </c>
      <c r="F1" s="30" t="s">
        <v>14</v>
      </c>
      <c r="G1" s="31" t="s">
        <v>15</v>
      </c>
      <c r="H1" s="41" t="s">
        <v>20</v>
      </c>
      <c r="I1" s="42" t="s">
        <v>21</v>
      </c>
      <c r="J1" s="43" t="s">
        <v>22</v>
      </c>
    </row>
    <row r="2" spans="1:10" x14ac:dyDescent="0.2">
      <c r="A2" s="54" t="s">
        <v>24</v>
      </c>
      <c r="B2" s="20">
        <f>C2/10.76391</f>
        <v>753.90819878650052</v>
      </c>
      <c r="C2" s="21">
        <f>((1000/B8)*'Per m weight'!B3)*A8</f>
        <v>8115</v>
      </c>
      <c r="D2" s="22">
        <f>+A8*'Per m weight'!B3</f>
        <v>811.5</v>
      </c>
      <c r="E2" s="32">
        <f>F2/10.76391</f>
        <v>828.0679050177863</v>
      </c>
      <c r="F2" s="33">
        <f>C2+(((('Per m weight'!C3*0.03937)*39.37)*(1000/B8))*'Coating Rate'!C1)</f>
        <v>8913.2484034999998</v>
      </c>
      <c r="G2" s="34">
        <f>+D2+((('Per m weight'!C3/25.4)*39.37008)*'Coating Rate'!C1)</f>
        <v>891.32516220472439</v>
      </c>
      <c r="H2" s="44">
        <f>I2/10.76391</f>
        <v>961.55537623410078</v>
      </c>
      <c r="I2" s="45">
        <f>C2+(((('Per m weight'!C3*0.03937)*39.37)*(1000/B8))*0.7)</f>
        <v>10350.095529799999</v>
      </c>
      <c r="J2" s="46">
        <f>+D2+((('Per m weight'!C3/25.4)*39.37008)*'Coating Rate'!C2)</f>
        <v>1003.0803892913386</v>
      </c>
    </row>
    <row r="3" spans="1:10" x14ac:dyDescent="0.2">
      <c r="A3" s="55" t="s">
        <v>23</v>
      </c>
      <c r="B3" s="23">
        <f>C3/10.76391</f>
        <v>80.755970646354356</v>
      </c>
      <c r="C3" s="24">
        <f>((((1000/B8)*2)*50/1000)*'Per m weight'!B4)*A8</f>
        <v>869.25</v>
      </c>
      <c r="D3" s="25">
        <f>CEILING(((A8*'Per m weight'!B4)*0.15),10)</f>
        <v>140</v>
      </c>
      <c r="E3" s="35">
        <f>F3/10.76391</f>
        <v>90.115933568749654</v>
      </c>
      <c r="F3" s="36">
        <f>C3+(((('Per m weight'!C4*0.03937)*39.37)*((1000/B8)*2)*50/1000)*'Coating Rate'!C1)</f>
        <v>969.9997985</v>
      </c>
      <c r="G3" s="37">
        <f>+D3+((('Per m weight'!C4/25.4)*6)*'Coating Rate'!C1)</f>
        <v>155.35433070866142</v>
      </c>
      <c r="H3" s="47">
        <f>I3/10.76391</f>
        <v>106.9638668290612</v>
      </c>
      <c r="I3" s="48">
        <f>C3+(((('Per m weight'!C4*0.03937)*39.37)*((1000/B8)*2)*(50/1000))*0.7)</f>
        <v>1151.3494358</v>
      </c>
      <c r="J3" s="49">
        <f>+D3+((('Per m weight'!C4/25.4)*6)*'Coating Rate'!C2)</f>
        <v>176.85039370078741</v>
      </c>
    </row>
    <row r="4" spans="1:10" x14ac:dyDescent="0.2">
      <c r="A4" s="55" t="s">
        <v>2</v>
      </c>
      <c r="B4" s="23">
        <f>C4/10.76391</f>
        <v>69.259219001273706</v>
      </c>
      <c r="C4" s="24">
        <f>((((1000/B8)*2)*50/1000)*'Per m weight'!B5)*A8</f>
        <v>745.5</v>
      </c>
      <c r="D4" s="25">
        <f>+CEILING(((A8*'Per m weight'!B5)*0.15),10)</f>
        <v>120</v>
      </c>
      <c r="E4" s="35">
        <f>F4/10.76391</f>
        <v>73.507202173745426</v>
      </c>
      <c r="F4" s="36">
        <f>C4+(((('Per m weight'!C5*0.03937)*39.37)*((1000/B8)*2)*50/1000)*'Coating Rate'!C1)</f>
        <v>791.22490855000001</v>
      </c>
      <c r="G4" s="37">
        <f>+D4+((('Per m weight'!C5/25.4)*6)*'Coating Rate'!C1)</f>
        <v>126.96850393700788</v>
      </c>
      <c r="H4" s="47">
        <f>I4/10.76391</f>
        <v>81.153571884194506</v>
      </c>
      <c r="I4" s="48">
        <f>C4+(((('Per m weight'!C5*0.03937)*39.37)*((1000/B8)*2)*(50/1000))*0.7)</f>
        <v>873.52974394</v>
      </c>
      <c r="J4" s="49">
        <f>+D4+((('Per m weight'!C5/25.4)*6)*'Coating Rate'!C2)</f>
        <v>136.7244094488189</v>
      </c>
    </row>
    <row r="5" spans="1:10" s="16" customFormat="1" ht="17" thickBot="1" x14ac:dyDescent="0.25">
      <c r="A5" s="56" t="s">
        <v>17</v>
      </c>
      <c r="B5" s="26">
        <f>CEILING((SUM(B2:B4)),10)</f>
        <v>910</v>
      </c>
      <c r="C5" s="27">
        <f>CEILING((SUM(C2:C4)),10)</f>
        <v>9730</v>
      </c>
      <c r="D5" s="28"/>
      <c r="E5" s="38">
        <f>+CEILING((SUM(E2:E4)),10)</f>
        <v>1000</v>
      </c>
      <c r="F5" s="39">
        <f>+CEILING((SUM(F2:F4)),10)</f>
        <v>10680</v>
      </c>
      <c r="G5" s="40"/>
      <c r="H5" s="50">
        <f t="shared" ref="H5:I5" si="0">+CEILING((SUM(H2:H4)),10)</f>
        <v>1150</v>
      </c>
      <c r="I5" s="51">
        <f t="shared" si="0"/>
        <v>12380</v>
      </c>
      <c r="J5" s="52"/>
    </row>
    <row r="6" spans="1:10" ht="17" thickBot="1" x14ac:dyDescent="0.25">
      <c r="B6" s="13"/>
      <c r="C6" s="13"/>
      <c r="D6" s="13"/>
      <c r="E6" s="13"/>
      <c r="F6" s="13"/>
      <c r="G6" s="13"/>
      <c r="H6" s="13"/>
      <c r="I6" s="13"/>
      <c r="J6" s="13"/>
    </row>
    <row r="7" spans="1:10" x14ac:dyDescent="0.2">
      <c r="A7" s="10" t="s">
        <v>16</v>
      </c>
      <c r="B7" s="11" t="s">
        <v>1</v>
      </c>
    </row>
    <row r="8" spans="1:10" ht="17" thickBot="1" x14ac:dyDescent="0.25">
      <c r="A8" s="14">
        <v>750</v>
      </c>
      <c r="B8" s="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G5"/>
  <sheetViews>
    <sheetView zoomScale="133" workbookViewId="0">
      <selection activeCell="C9" sqref="C9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7" ht="16" thickBot="1" x14ac:dyDescent="0.25">
      <c r="A1" s="58" t="s">
        <v>3</v>
      </c>
      <c r="B1" s="58"/>
      <c r="C1" s="58"/>
    </row>
    <row r="2" spans="1:7" ht="32" customHeight="1" thickBot="1" x14ac:dyDescent="0.25">
      <c r="A2" s="2" t="s">
        <v>4</v>
      </c>
      <c r="B2" s="3" t="s">
        <v>5</v>
      </c>
      <c r="C2" s="4" t="s">
        <v>6</v>
      </c>
    </row>
    <row r="3" spans="1:7" x14ac:dyDescent="0.2">
      <c r="A3" s="8" t="s">
        <v>9</v>
      </c>
      <c r="B3" s="6">
        <v>1.0820000000000001</v>
      </c>
      <c r="C3" s="7">
        <v>206</v>
      </c>
    </row>
    <row r="4" spans="1:7" ht="32" x14ac:dyDescent="0.2">
      <c r="A4" s="9" t="s">
        <v>10</v>
      </c>
      <c r="B4" s="6">
        <v>1.159</v>
      </c>
      <c r="C4" s="7">
        <v>260</v>
      </c>
      <c r="E4" s="1">
        <f>+B4/1000</f>
        <v>1.1590000000000001E-3</v>
      </c>
      <c r="F4" s="1">
        <f>+E4*150</f>
        <v>0.17385</v>
      </c>
      <c r="G4" s="1">
        <f>+C4*0.15</f>
        <v>39</v>
      </c>
    </row>
    <row r="5" spans="1:7" x14ac:dyDescent="0.2">
      <c r="A5" s="5" t="s">
        <v>11</v>
      </c>
      <c r="B5" s="6">
        <v>0.99399999999999999</v>
      </c>
      <c r="C5" s="7">
        <v>118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B585-57AF-BE4E-9923-740B26F622CB}">
  <dimension ref="A1:C2"/>
  <sheetViews>
    <sheetView zoomScale="318" workbookViewId="0">
      <selection activeCell="C1" sqref="C1"/>
    </sheetView>
  </sheetViews>
  <sheetFormatPr baseColWidth="10" defaultRowHeight="16" x14ac:dyDescent="0.2"/>
  <sheetData>
    <row r="1" spans="1:3" ht="17" x14ac:dyDescent="0.2">
      <c r="A1" s="57" t="s">
        <v>7</v>
      </c>
      <c r="B1" s="57"/>
      <c r="C1" s="1">
        <v>0.25</v>
      </c>
    </row>
    <row r="2" spans="1:3" ht="17" x14ac:dyDescent="0.2">
      <c r="A2" s="57" t="s">
        <v>8</v>
      </c>
      <c r="B2" s="57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2026-02-23T07:31:04Z</dcterms:modified>
</cp:coreProperties>
</file>