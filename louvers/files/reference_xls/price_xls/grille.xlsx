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4BB5CF31-49BC-FF43-9B7F-FA2349A96E8E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  <sheet name="Coating Rat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2" i="1" s="1"/>
  <c r="D2" i="1"/>
  <c r="G2" i="1" s="1"/>
  <c r="C3" i="1"/>
  <c r="F3" i="1" s="1"/>
  <c r="D3" i="1"/>
  <c r="J3" i="1" s="1"/>
  <c r="C4" i="1"/>
  <c r="D4" i="1"/>
  <c r="J4" i="1" s="1"/>
  <c r="G3" i="1" l="1"/>
  <c r="I2" i="1"/>
  <c r="F2" i="1"/>
  <c r="I4" i="1"/>
  <c r="H4" i="1" s="1"/>
  <c r="F4" i="1"/>
  <c r="G4" i="1"/>
  <c r="J2" i="1"/>
  <c r="I3" i="1"/>
  <c r="H3" i="1" s="1"/>
  <c r="E3" i="1"/>
  <c r="E4" i="1"/>
  <c r="C5" i="1"/>
  <c r="B4" i="1"/>
  <c r="B3" i="1"/>
  <c r="I5" i="1" l="1"/>
  <c r="B5" i="1"/>
  <c r="H2" i="1"/>
  <c r="H5" i="1" s="1"/>
  <c r="E2" i="1"/>
  <c r="E5" i="1" s="1"/>
  <c r="F5" i="1"/>
</calcChain>
</file>

<file path=xl/sharedStrings.xml><?xml version="1.0" encoding="utf-8"?>
<sst xmlns="http://schemas.openxmlformats.org/spreadsheetml/2006/main" count="25" uniqueCount="24">
  <si>
    <t>Product</t>
  </si>
  <si>
    <t>Pitch</t>
  </si>
  <si>
    <t>Grille 2550</t>
  </si>
  <si>
    <t>Carrier</t>
  </si>
  <si>
    <t>Covering Profile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</si>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</sst>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6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7" xfId="1" applyBorder="1"/>
    <xf numFmtId="164" fontId="2" fillId="0" borderId="8" xfId="1" applyNumberFormat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0" fillId="5" borderId="18" xfId="0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4" fillId="5" borderId="17" xfId="0" applyFont="1" applyFill="1" applyBorder="1" applyAlignment="1">
      <alignment horizontal="center"/>
    </xf>
    <xf numFmtId="1" fontId="0" fillId="2" borderId="4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6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" fontId="0" fillId="2" borderId="8" xfId="0" applyNumberFormat="1" applyFill="1" applyBorder="1" applyAlignment="1">
      <alignment horizontal="center"/>
    </xf>
    <xf numFmtId="1" fontId="0" fillId="2" borderId="9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" fontId="4" fillId="2" borderId="3" xfId="0" applyNumberFormat="1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" fontId="0" fillId="3" borderId="10" xfId="0" applyNumberFormat="1" applyFill="1" applyBorder="1" applyAlignment="1">
      <alignment horizontal="center"/>
    </xf>
    <xf numFmtId="1" fontId="0" fillId="3" borderId="11" xfId="0" applyNumberFormat="1" applyFill="1" applyBorder="1" applyAlignment="1">
      <alignment horizontal="center"/>
    </xf>
    <xf numFmtId="1" fontId="0" fillId="3" borderId="12" xfId="0" applyNumberFormat="1" applyFill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3" borderId="2" xfId="0" applyNumberFormat="1" applyFont="1" applyFill="1" applyBorder="1" applyAlignment="1">
      <alignment horizontal="center"/>
    </xf>
    <xf numFmtId="1" fontId="4" fillId="3" borderId="3" xfId="0" applyNumberFormat="1" applyFont="1" applyFill="1" applyBorder="1" applyAlignment="1">
      <alignment horizontal="center"/>
    </xf>
    <xf numFmtId="1" fontId="0" fillId="4" borderId="21" xfId="0" applyNumberFormat="1" applyFill="1" applyBorder="1" applyAlignment="1">
      <alignment horizontal="center"/>
    </xf>
    <xf numFmtId="1" fontId="0" fillId="4" borderId="5" xfId="0" applyNumberFormat="1" applyFill="1" applyBorder="1" applyAlignment="1">
      <alignment horizontal="center"/>
    </xf>
    <xf numFmtId="1" fontId="0" fillId="4" borderId="6" xfId="0" applyNumberFormat="1" applyFill="1" applyBorder="1" applyAlignment="1">
      <alignment horizontal="center"/>
    </xf>
    <xf numFmtId="1" fontId="0" fillId="4" borderId="22" xfId="0" applyNumberFormat="1" applyFill="1" applyBorder="1" applyAlignment="1">
      <alignment horizontal="center"/>
    </xf>
    <xf numFmtId="1" fontId="0" fillId="4" borderId="8" xfId="0" applyNumberFormat="1" applyFill="1" applyBorder="1" applyAlignment="1">
      <alignment horizontal="center"/>
    </xf>
    <xf numFmtId="1" fontId="0" fillId="4" borderId="9" xfId="0" applyNumberFormat="1" applyFill="1" applyBorder="1" applyAlignment="1">
      <alignment horizontal="center"/>
    </xf>
    <xf numFmtId="1" fontId="0" fillId="4" borderId="24" xfId="0" applyNumberFormat="1" applyFill="1" applyBorder="1" applyAlignment="1">
      <alignment horizontal="center"/>
    </xf>
    <xf numFmtId="1" fontId="0" fillId="4" borderId="11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1" fontId="4" fillId="4" borderId="20" xfId="0" applyNumberFormat="1" applyFont="1" applyFill="1" applyBorder="1" applyAlignment="1">
      <alignment horizontal="center"/>
    </xf>
    <xf numFmtId="1" fontId="4" fillId="4" borderId="2" xfId="0" applyNumberFormat="1" applyFont="1" applyFill="1" applyBorder="1" applyAlignment="1">
      <alignment horizontal="center"/>
    </xf>
    <xf numFmtId="1" fontId="4" fillId="4" borderId="3" xfId="0" applyNumberFormat="1" applyFont="1" applyFill="1" applyBorder="1" applyAlignment="1">
      <alignment horizontal="center"/>
    </xf>
    <xf numFmtId="0" fontId="2" fillId="0" borderId="0" xfId="1" applyAlignment="1">
      <alignment horizontal="center"/>
    </xf>
    <xf numFmtId="0" fontId="2" fillId="0" borderId="25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8"/>
  <sheetViews>
    <sheetView tabSelected="1" zoomScale="136" workbookViewId="0">
      <selection activeCell="B18" sqref="B18"/>
    </sheetView>
  </sheetViews>
  <sheetFormatPr baseColWidth="10" defaultRowHeight="16" x14ac:dyDescent="0.2"/>
  <cols>
    <col min="1" max="1" width="13.83203125" style="10" bestFit="1" customWidth="1"/>
    <col min="2" max="2" width="12.1640625" style="10" bestFit="1" customWidth="1"/>
    <col min="3" max="3" width="13.1640625" style="10" bestFit="1" customWidth="1"/>
    <col min="4" max="4" width="12.1640625" style="10" bestFit="1" customWidth="1"/>
    <col min="5" max="5" width="18.5" style="10" bestFit="1" customWidth="1"/>
    <col min="6" max="6" width="19.33203125" style="10" bestFit="1" customWidth="1"/>
    <col min="7" max="7" width="18.33203125" style="10" bestFit="1" customWidth="1"/>
    <col min="8" max="8" width="10.5" style="10" bestFit="1" customWidth="1"/>
    <col min="9" max="9" width="10.83203125" style="10" bestFit="1" customWidth="1"/>
    <col min="10" max="10" width="9.83203125" style="10" bestFit="1" customWidth="1"/>
    <col min="11" max="16384" width="10.83203125" style="10"/>
  </cols>
  <sheetData>
    <row r="1" spans="1:10" ht="17" thickBot="1" x14ac:dyDescent="0.25">
      <c r="A1" s="23" t="s">
        <v>0</v>
      </c>
      <c r="B1" s="14" t="s">
        <v>23</v>
      </c>
      <c r="C1" s="15" t="s">
        <v>18</v>
      </c>
      <c r="D1" s="16" t="s">
        <v>19</v>
      </c>
      <c r="E1" s="17" t="s">
        <v>13</v>
      </c>
      <c r="F1" s="18" t="s">
        <v>14</v>
      </c>
      <c r="G1" s="19" t="s">
        <v>15</v>
      </c>
      <c r="H1" s="20" t="s">
        <v>20</v>
      </c>
      <c r="I1" s="21" t="s">
        <v>21</v>
      </c>
      <c r="J1" s="22" t="s">
        <v>22</v>
      </c>
    </row>
    <row r="2" spans="1:10" x14ac:dyDescent="0.2">
      <c r="A2" s="24" t="s">
        <v>2</v>
      </c>
      <c r="B2" s="28">
        <f>C2/10.7639104</f>
        <v>622.35746592613782</v>
      </c>
      <c r="C2" s="29">
        <f>((1000/B8)*'Per m weight'!B3)*A8</f>
        <v>6699.0000000000009</v>
      </c>
      <c r="D2" s="30">
        <f>+A8*'Per m weight'!B3</f>
        <v>334.95000000000005</v>
      </c>
      <c r="E2" s="40">
        <f>F2/10.7639104</f>
        <v>723.15706288302079</v>
      </c>
      <c r="F2" s="41">
        <f>C2+(((('Per m weight'!C3*0.03937)*39.37)*(1000/B8))*'Coating Rate'!C1)</f>
        <v>7783.9978300000012</v>
      </c>
      <c r="G2" s="42">
        <f>D2+((('Per m weight'!C3/25.4)*39.37008)*'Coating Rate'!C1)</f>
        <v>389.2001102362205</v>
      </c>
      <c r="H2" s="52">
        <f>I2/10.7639104</f>
        <v>864.27649862265673</v>
      </c>
      <c r="I2" s="53">
        <f>C2+(((('Per m weight'!C3*0.03937)*39.37)*(1000/B8))*'Coating Rate'!C2)</f>
        <v>9302.9947920000013</v>
      </c>
      <c r="J2" s="54">
        <f>+D2+((('Per m weight'!C3/25.4)*39.37008)*'Coating Rate'!C2)</f>
        <v>465.1502645669292</v>
      </c>
    </row>
    <row r="3" spans="1:10" x14ac:dyDescent="0.2">
      <c r="A3" s="25" t="s">
        <v>3</v>
      </c>
      <c r="B3" s="31">
        <f>C3/10.7639104</f>
        <v>47.979775082483037</v>
      </c>
      <c r="C3" s="32">
        <f>(2*'Per m weight'!B4)*A8</f>
        <v>516.45000000000005</v>
      </c>
      <c r="D3" s="33">
        <f>+A8*'Per m weight'!B4</f>
        <v>258.22500000000002</v>
      </c>
      <c r="E3" s="43">
        <f t="shared" ref="E3:E4" si="0">F3/10.7639104</f>
        <v>56.259741975369849</v>
      </c>
      <c r="F3" s="44">
        <f>C3+(((('Per m weight'!C4*0.03937)*39.37)*2)*'Coating Rate'!C1)</f>
        <v>605.57482175000007</v>
      </c>
      <c r="G3" s="45">
        <f>+D3+((('Per m weight'!C4/25.4)*39.37008)*'Coating Rate'!C1)</f>
        <v>302.7875905511811</v>
      </c>
      <c r="H3" s="55">
        <f t="shared" ref="H3:H4" si="1">I3/10.7639104</f>
        <v>67.851695625411381</v>
      </c>
      <c r="I3" s="56">
        <f>C3+(((('Per m weight'!C4*0.03937)*39.37)*2)*'Coating Rate'!C2)</f>
        <v>730.34957220000001</v>
      </c>
      <c r="J3" s="57">
        <f>+D3+((('Per m weight'!C4/25.4)*39.37008)*'Coating Rate'!C2)</f>
        <v>365.17521732283467</v>
      </c>
    </row>
    <row r="4" spans="1:10" ht="17" thickBot="1" x14ac:dyDescent="0.25">
      <c r="A4" s="26" t="s">
        <v>4</v>
      </c>
      <c r="B4" s="34">
        <f>C4/10.7639104</f>
        <v>17.321771834890043</v>
      </c>
      <c r="C4" s="35">
        <f>(2*'Per m weight'!B5)*A8</f>
        <v>186.45000000000002</v>
      </c>
      <c r="D4" s="36">
        <f>+A8*'Per m weight'!B5</f>
        <v>93.225000000000009</v>
      </c>
      <c r="E4" s="46">
        <f t="shared" si="0"/>
        <v>20.201760319372411</v>
      </c>
      <c r="F4" s="47">
        <f>C4+(((('Per m weight'!C5*0.03937)*39.37)*2)*'Coating Rate'!C1)</f>
        <v>217.44993800000003</v>
      </c>
      <c r="G4" s="48">
        <f>+D4+((('Per m weight'!C5/25.4)*39.37008)*'Coating Rate'!C1)</f>
        <v>108.725031496063</v>
      </c>
      <c r="H4" s="58">
        <f t="shared" si="1"/>
        <v>24.233744197647724</v>
      </c>
      <c r="I4" s="59">
        <f>C4+(((('Per m weight'!C5*0.03937)*39.37)*2)*'Coating Rate'!C2)</f>
        <v>260.84985119999999</v>
      </c>
      <c r="J4" s="60">
        <f>+D4+((('Per m weight'!C5/25.4)*39.37008)*'Coating Rate'!C2)</f>
        <v>130.42507559055119</v>
      </c>
    </row>
    <row r="5" spans="1:10" s="13" customFormat="1" ht="17" thickBot="1" x14ac:dyDescent="0.25">
      <c r="A5" s="27" t="s">
        <v>17</v>
      </c>
      <c r="B5" s="37">
        <f t="shared" ref="B5:I5" si="2">SUM(B2:B4)</f>
        <v>687.65901284351082</v>
      </c>
      <c r="C5" s="38">
        <f t="shared" si="2"/>
        <v>7401.9000000000005</v>
      </c>
      <c r="D5" s="39"/>
      <c r="E5" s="49">
        <f t="shared" si="2"/>
        <v>799.618565177763</v>
      </c>
      <c r="F5" s="50">
        <f t="shared" si="2"/>
        <v>8607.0225897500004</v>
      </c>
      <c r="G5" s="51"/>
      <c r="H5" s="61">
        <f t="shared" si="2"/>
        <v>956.36193844571585</v>
      </c>
      <c r="I5" s="62">
        <f t="shared" si="2"/>
        <v>10294.194215400003</v>
      </c>
      <c r="J5" s="63"/>
    </row>
    <row r="6" spans="1:10" ht="17" thickBot="1" x14ac:dyDescent="0.25"/>
    <row r="7" spans="1:10" x14ac:dyDescent="0.2">
      <c r="A7" s="8" t="s">
        <v>16</v>
      </c>
      <c r="B7" s="9" t="s">
        <v>1</v>
      </c>
    </row>
    <row r="8" spans="1:10" ht="17" thickBot="1" x14ac:dyDescent="0.25">
      <c r="A8" s="11">
        <v>825</v>
      </c>
      <c r="B8" s="12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F5"/>
  <sheetViews>
    <sheetView zoomScale="167" zoomScaleNormal="100" workbookViewId="0">
      <selection activeCell="A3" sqref="A3:XFD3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6" ht="16" thickBot="1" x14ac:dyDescent="0.25">
      <c r="A1" s="65" t="s">
        <v>5</v>
      </c>
      <c r="B1" s="65"/>
      <c r="C1" s="65"/>
    </row>
    <row r="2" spans="1:6" ht="32" customHeight="1" thickBot="1" x14ac:dyDescent="0.25">
      <c r="A2" s="2" t="s">
        <v>6</v>
      </c>
      <c r="B2" s="3" t="s">
        <v>7</v>
      </c>
      <c r="C2" s="4" t="s">
        <v>8</v>
      </c>
    </row>
    <row r="3" spans="1:6" x14ac:dyDescent="0.2">
      <c r="A3" s="5" t="s">
        <v>2</v>
      </c>
      <c r="B3" s="6">
        <v>0.40600000000000003</v>
      </c>
      <c r="C3" s="7">
        <v>140</v>
      </c>
      <c r="E3" s="64"/>
      <c r="F3" s="64"/>
    </row>
    <row r="4" spans="1:6" x14ac:dyDescent="0.2">
      <c r="A4" s="5" t="s">
        <v>11</v>
      </c>
      <c r="B4" s="6">
        <v>0.313</v>
      </c>
      <c r="C4" s="7">
        <v>115</v>
      </c>
    </row>
    <row r="5" spans="1:6" x14ac:dyDescent="0.2">
      <c r="A5" s="5" t="s">
        <v>12</v>
      </c>
      <c r="B5" s="6">
        <v>0.113</v>
      </c>
      <c r="C5" s="7">
        <v>40</v>
      </c>
    </row>
  </sheetData>
  <mergeCells count="2">
    <mergeCell ref="E3:F3"/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9FA-20B2-8144-8B66-78EBBABED70A}">
  <dimension ref="A1:C2"/>
  <sheetViews>
    <sheetView workbookViewId="0">
      <selection activeCell="E23" sqref="E23"/>
    </sheetView>
  </sheetViews>
  <sheetFormatPr baseColWidth="10" defaultRowHeight="16" x14ac:dyDescent="0.2"/>
  <sheetData>
    <row r="1" spans="1:3" ht="17" x14ac:dyDescent="0.2">
      <c r="A1" s="64" t="s">
        <v>9</v>
      </c>
      <c r="B1" s="64"/>
      <c r="C1" s="1">
        <v>0.25</v>
      </c>
    </row>
    <row r="2" spans="1:3" ht="17" x14ac:dyDescent="0.2">
      <c r="A2" s="64" t="s">
        <v>10</v>
      </c>
      <c r="B2" s="64"/>
      <c r="C2" s="1">
        <v>0.6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Coating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2026-03-14T05:45:42Z</dcterms:modified>
</cp:coreProperties>
</file>